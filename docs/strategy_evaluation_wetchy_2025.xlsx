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_rels/sheet20.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sheet3.xml" ContentType="application/vnd.openxmlformats-officedocument.spreadsheetml.worksheet+xml"/>
  <Override PartName="/xl/worksheets/sheet16.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pivotTables/_rels/pivotTable1.xml.rels" ContentType="application/vnd.openxmlformats-package.relationships+xml"/>
  <Override PartName="/xl/pivotTables/pivotTable1.xml" ContentType="application/vnd.openxmlformats-officedocument.spreadsheetml.pivotTable+xml"/>
  <Override PartName="/xl/pivotCache/_rels/pivotCacheDefinition1.xml.rels" ContentType="application/vnd.openxmlformats-package.relationship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tals" sheetId="1" state="visible" r:id="rId3"/>
    <sheet name="ResponseTimes" sheetId="2" state="visible" r:id="rId4"/>
    <sheet name="SurveyResults" sheetId="3" state="visible" r:id="rId5"/>
    <sheet name="StrategyEvaluations" sheetId="4" state="visible" r:id="rId6"/>
    <sheet name="Strategies" sheetId="5" state="visible" r:id="rId7"/>
    <sheet name="Contexts" sheetId="6" state="visible" r:id="rId8"/>
    <sheet name="P1" sheetId="7" state="visible" r:id="rId9"/>
    <sheet name="P2" sheetId="8" state="visible" r:id="rId10"/>
    <sheet name="P3" sheetId="9" state="visible" r:id="rId11"/>
    <sheet name="P4" sheetId="10" state="visible" r:id="rId12"/>
    <sheet name="P5" sheetId="11" state="visible" r:id="rId13"/>
    <sheet name="P6" sheetId="12" state="visible" r:id="rId14"/>
    <sheet name="P7" sheetId="13" state="visible" r:id="rId15"/>
    <sheet name="P8" sheetId="14" state="visible" r:id="rId16"/>
    <sheet name="P9" sheetId="15" state="visible" r:id="rId17"/>
    <sheet name="P10" sheetId="16" state="visible" r:id="rId18"/>
    <sheet name="P11" sheetId="17" state="visible" r:id="rId19"/>
    <sheet name="P12" sheetId="18" state="visible" r:id="rId20"/>
    <sheet name="P13" sheetId="19" state="visible" r:id="rId21"/>
    <sheet name="SurveyResults (Pilot Evaluatio)" sheetId="20" state="visible" r:id="rId22"/>
    <sheet name="Template" sheetId="21" state="visible" r:id="rId23"/>
    <sheet name="Sheet2" sheetId="22" state="visible" r:id="rId24"/>
    <sheet name="Sheet3" sheetId="23" state="visible" r:id="rId25"/>
  </sheets>
  <calcPr iterateCount="100" refMode="A1" iterate="false" iterateDelta="0.0001"/>
  <pivotCaches>
    <pivotCache cacheId="1" r:id="rId27"/>
  </pivotCaches>
  <extLst>
    <ext xmlns:loext="http://schemas.libreoffice.org/" uri="{7626C862-2A13-11E5-B345-FEFF819CDC9F}">
      <loext:extCalcPr stringRefSyntax="ExcelA1"/>
    </ext>
  </extLst>
</workbook>
</file>

<file path=xl/sharedStrings.xml><?xml version="1.0" encoding="utf-8"?>
<sst xmlns="http://schemas.openxmlformats.org/spreadsheetml/2006/main" count="5111" uniqueCount="983">
  <si>
    <t xml:space="preserve">Total conversations</t>
  </si>
  <si>
    <t xml:space="preserve">Completed conversations</t>
  </si>
  <si>
    <t xml:space="preserve">Successful conversations</t>
  </si>
  <si>
    <t xml:space="preserve">P5 was rated as an unsuccessful interview due to a programming error throwing the conversation off track and thus excluded from futher analysis.</t>
  </si>
  <si>
    <t xml:space="preserve">Conversations in German</t>
  </si>
  <si>
    <t xml:space="preserve">P9  was rated as unsuccessful due to the agent giving inappropriate responses based on the current step and hallucinating contexts and strategies, leading to a large number of failed steps</t>
  </si>
  <si>
    <t xml:space="preserve">Conversations in English</t>
  </si>
  <si>
    <t xml:space="preserve">P1</t>
  </si>
  <si>
    <t xml:space="preserve">P2</t>
  </si>
  <si>
    <t xml:space="preserve">P3</t>
  </si>
  <si>
    <t xml:space="preserve">P4</t>
  </si>
  <si>
    <t xml:space="preserve">P5</t>
  </si>
  <si>
    <t xml:space="preserve">P6</t>
  </si>
  <si>
    <t xml:space="preserve">P7</t>
  </si>
  <si>
    <t xml:space="preserve">P8</t>
  </si>
  <si>
    <t xml:space="preserve">P9</t>
  </si>
  <si>
    <t xml:space="preserve">P10</t>
  </si>
  <si>
    <t xml:space="preserve">P11</t>
  </si>
  <si>
    <t xml:space="preserve">P12</t>
  </si>
  <si>
    <t xml:space="preserve">P13</t>
  </si>
  <si>
    <t xml:space="preserve">Timings - all time measurements are given in hh:mm:ss format</t>
  </si>
  <si>
    <t xml:space="preserve">Time taken to complete conversations</t>
  </si>
  <si>
    <t xml:space="preserve">Active time (minus any periods where more than 15 minutes elapsed between messages)</t>
  </si>
  <si>
    <t xml:space="preserve">Longest time taken to complete</t>
  </si>
  <si>
    <t xml:space="preserve">Longest active time taken to complete</t>
  </si>
  <si>
    <t xml:space="preserve">Shortest time taken to complete</t>
  </si>
  <si>
    <t xml:space="preserve">Average time to complete</t>
  </si>
  <si>
    <t xml:space="preserve">Average active time to complete</t>
  </si>
  <si>
    <t xml:space="preserve">Median time to complete</t>
  </si>
  <si>
    <t xml:space="preserve">Median active time to complete</t>
  </si>
  <si>
    <t xml:space="preserve">Number of interactions resulting in errors (note: 1 fix applied while test in progress)</t>
  </si>
  <si>
    <t xml:space="preserve">Number of search results for 'ERROR' across app logs</t>
  </si>
  <si>
    <t xml:space="preserve">Number of search results for 'Invalid JSON' across app logs</t>
  </si>
  <si>
    <t xml:space="preserve">Number of search results for 'JSON is valid' across app logs</t>
  </si>
  <si>
    <t xml:space="preserve">Incorrect</t>
  </si>
  <si>
    <t xml:space="preserve">Total number of messages sent by agent</t>
  </si>
  <si>
    <t xml:space="preserve">Strategy step:</t>
  </si>
  <si>
    <t xml:space="preserve">Number of messages sent by users</t>
  </si>
  <si>
    <t xml:space="preserve">Frequency step:</t>
  </si>
  <si>
    <t xml:space="preserve">"Complete" step:</t>
  </si>
  <si>
    <t xml:space="preserve">Rate of unexpected input received</t>
  </si>
  <si>
    <t xml:space="preserve">Success rate of handling unexpected input</t>
  </si>
  <si>
    <t xml:space="preserve">Note: P6 did not have any unexpected input from the user so is excluded from this calculation</t>
  </si>
  <si>
    <t xml:space="preserve">Success rate of using appropriate degrees of formality and linguistic register</t>
  </si>
  <si>
    <t xml:space="preserve">Success rate of executing steps correctly</t>
  </si>
  <si>
    <t xml:space="preserve">Success rate of classifying learning strategies like a human coder</t>
  </si>
  <si>
    <t xml:space="preserve">Success rate of responding to user mood and sentiment</t>
  </si>
  <si>
    <t xml:space="preserve">Percentage of user messages with tone ranked as 5 (very positive)</t>
  </si>
  <si>
    <t xml:space="preserve">Percentage of user messages with tone ranked as 4 (positive)</t>
  </si>
  <si>
    <t xml:space="preserve">Percentage of user messages with tone ranked as 3 (neutral)</t>
  </si>
  <si>
    <t xml:space="preserve">Percentage of user messages with tone ranked as 2 (negative)</t>
  </si>
  <si>
    <t xml:space="preserve">Percentage of user messages with tone ranked as 1 (very negative)</t>
  </si>
  <si>
    <t xml:space="preserve">User message</t>
  </si>
  <si>
    <t xml:space="preserve">Agent response</t>
  </si>
  <si>
    <t xml:space="preserve">Difference (mm:ss.000)</t>
  </si>
  <si>
    <t xml:space="preserve">Latency between time message appears in Discord and logged in API logs</t>
  </si>
  <si>
    <t xml:space="preserve">I'm doing my masters degree in chemical engineering specifically in material sciences. I also did my bachelors in chemical engineering.</t>
  </si>
  <si>
    <t xml:space="preserve">Discord Time</t>
  </si>
  <si>
    <t xml:space="preserve">API log time</t>
  </si>
  <si>
    <t xml:space="preserve">I try to take a break where I go for a walk or read something, where I get out of the environment where I'm studying. Then I try to make a list for myself, prioritise some tasks and divide everything into smaller sections so it feels easier to tackle it.</t>
  </si>
  <si>
    <t xml:space="preserve">I either try to do it on my own with what we learned during the course and then find some references to check if I was correct. Or I try to find someone who I know is more knowledgeable than me and ask them to explain the problem to me.</t>
  </si>
  <si>
    <t xml:space="preserve">Can you clarify for me what do you mean by 'methods' when writing a scientific paper?</t>
  </si>
  <si>
    <t xml:space="preserve">Before summarizing and explaining my own research, I always like to write about the already existing studies that I have read through and used as inspiration. For categorising these articles I use Mendeley plugin, because it makes things easier. After that I like to write out a table of contents with small explanations of every part and look it through if it's coherent. Than if I'm happy with it, I start to write out my findings that I already put into folders. I try to break down every method into different folders, so different results are easy to find.</t>
  </si>
  <si>
    <t xml:space="preserve">I usually write out notes on my iPad with a pen. If the professor provided the presentation notes before class, than I like to use that as a basis and supplement it with my own thoughts and the stuff that was said at the lecture.</t>
  </si>
  <si>
    <t xml:space="preserve">Average difference:</t>
  </si>
  <si>
    <t xml:space="preserve">I like to read through my notes that I made for the exams as many times as I can, sometimes even out loud. If it's a very difficult exam than I like to try and explain it to some of my friends who might not know this subject, so I have to make things clear for them to understand.</t>
  </si>
  <si>
    <t xml:space="preserve">Response Time</t>
  </si>
  <si>
    <t xml:space="preserve">Number of messages</t>
  </si>
  <si>
    <t xml:space="preserve">Percentage of agent messages</t>
  </si>
  <si>
    <t xml:space="preserve">Less than 3"</t>
  </si>
  <si>
    <t xml:space="preserve">3" - &lt;5"</t>
  </si>
  <si>
    <t xml:space="preserve">5" - &lt;10"</t>
  </si>
  <si>
    <t xml:space="preserve">Using the textbook written about the subject, if it exists and using mostly the notes provided by the professors. I like using my own notes because I already wrote things in a way I will understand it. If it's necessary than I will look for more online sources maybe videos explaining the subject.</t>
  </si>
  <si>
    <t xml:space="preserve">10" - &lt;15"</t>
  </si>
  <si>
    <t xml:space="preserve">15" - &lt;20"</t>
  </si>
  <si>
    <t xml:space="preserve">20" - &lt;30"</t>
  </si>
  <si>
    <t xml:space="preserve">I found that the Pomodoro technique works great for me when I have to review my notes. When I have to write papers I tend to forget about time. But I definitely would like improve my motivation in general and find strategies that I can implement to reduce my procastination.</t>
  </si>
  <si>
    <t xml:space="preserve">30" - &lt;1'</t>
  </si>
  <si>
    <t xml:space="preserve">I really like the 5-second rule, I will definitely try to implement it in the future when I feel the procastination coming in or when I have no motivation.</t>
  </si>
  <si>
    <t xml:space="preserve">1' or more</t>
  </si>
  <si>
    <t xml:space="preserve">Average</t>
  </si>
  <si>
    <t xml:space="preserve">2024-10-17 11:36:16,072</t>
  </si>
  <si>
    <t xml:space="preserve">2024-10-17 11:36:28,419</t>
  </si>
  <si>
    <t xml:space="preserve">In Psychologie, Bachelor of Science</t>
  </si>
  <si>
    <t xml:space="preserve">Total</t>
  </si>
  <si>
    <t xml:space="preserve">Ja gerne. Nachdem ich weiß, was die Vision und das Ziel ist, und ich meine wissenschafliche Arbeit durchgeführt habe und un den Bericht verfassen muss, gehe ich so vor, dass ich zunächst das Abstract schreibe. Dadurch weiß ich, ob ich meine Arbeit gut darstellen kann. Anschließend fange ich damit an die ganze Arbeit strukturell aufzubauen und zu entscheiden, welche Kapitel ich brauche. Dann fange ich an mit dem Outlining meiner Arbeit und setze bereits wichtige Tabellen und Bilder in meine Arbeit ein. Darin schreibe ich überall punktuell rein, was ich dem Leser über meine Arbeit berichten möchte. Dieses Outline verfeinere ich immer wieder, bis ich zufrieden bin. Anschließend arbeite ich jeden Punkt aus, und entwickle ganze Sätze. Die Sätze sind noch sehr grob und enthalten fehler. Allerdings schreibe ich zügig und verfeinere die Sprache dann zum Schluss. Final zeige ich Kollegen meine Arbeit und hole mir Feedback dazu ein. Das mache ich immer weiter, bis keine Kritik mehr vorhanden ist. Dann reiche ich meine Arbeit fristgerecht ein.</t>
  </si>
  <si>
    <t xml:space="preserve">Ich verwende sie meistens, also 4. Ich bin bereits eingeübt in dieser Prozedur und habe gute Ergebnisse erzielt. Ich denke, ich werde immer noch etwas besser und würde es beibehalten.</t>
  </si>
  <si>
    <t xml:space="preserve">Frequency</t>
  </si>
  <si>
    <t xml:space="preserve">Selbsterkärungen nutze ich auch meistens (4). Häufig mache ich mir dazu vorher Concept Maps am Whiteboard, oder Mindmaps auf dem Papier. Dann gehe ich diese durch Selbstgespräche durch und versuche mich zu hinterfragen, ob ich nicht etwas falsch sehe, oder übersehen habe. Wenn ich garnicht weiter komme, mache ich ein Miro Board auf, was digital ist. Darin mache ich ein sogenanntes Question Storming und sammele lediglich Fragen die mir bezüglich meiner Arbeit in den Sinn kommen. Dafür nehme ich mir mehrere Stunden. Anschließend versuche ich die Fragen zu strukturieren und als Anhaltspunkte zu nutzen, um weitere Recherchen durchzuführen. Das Fragenstellen ist führt meistens zu kritischen Fragen die mir dabei helfen, weitere Erklärungen zu finden. Die Erklärungen schreibe ich dann auch als Postits in das Miro.</t>
  </si>
  <si>
    <t xml:space="preserve">Ja, in der Regel sind die wissenschaftlichen Arbeiten bei uns in der Psychologie nach einem gewissen Schema aufgebaut, an dem sich alle Studierenden orientieren. Darunter gehört Einführung, Methodik, Auswertung und Resultate, sowie Limitationen und Diskussionen. Dabei versuche ich immer für den Leser eine Art Story aufzubauen und einen roten Pfaden mitzugeben. Wenn ich merke, dass manche Bereiche zu groß sind, versuche ich diese noch mal aufzuteilen. In letzter Zeit schreibe ich aber auch schon bei Resultaten kleinere Diskussionen und Limitationen, damit der Leser nicht erst zu spät am Ende des Berichts damit konfrontiert wird. Also ich muss garnicht sosehr selbst entscheiden, welche Kapitel es gibt.</t>
  </si>
  <si>
    <t xml:space="preserve">Ich habe diese meistens verwendet. Aber ich glaube du hast dich mit deinem Feedback wiederholt und bist nicht auf meine letzte Nachricht eingegangen. Wie sollen wir weiter verfahren?</t>
  </si>
  <si>
    <t xml:space="preserve">Durch das Outlining kann ich mir sehr gut überlegen, wie ich meine Geschichte erzählen will und welche Dinge ich hervorhebe und auf was ich hinweisen möchte. Da alles in dieser Phase noch stark komprimiert ist, habe ich einen guten Überblick und kann kritisch hinterfragen, ob der Rote Pfaden ersichtlich ist.</t>
  </si>
  <si>
    <t xml:space="preserve">Bei mündlichen und schriftlichen Prüfungen verwende ich diese Strategie nie, also 1</t>
  </si>
  <si>
    <t xml:space="preserve">Sehr oft, also 4</t>
  </si>
  <si>
    <t xml:space="preserve">Bei schwierigen Texten, nehme ich mir mehr Zeit. Manchmal mache ich auch eine Pause um mich zu erholen, da mir vielleicht nur gerade die Energie fehlt, den Text zu verarbeiten. Wenn der Text immer noch schwierig ist, schreibe ich mir eine eigenen Erklärungstext, worin ich die Inhalte stück für stück auseinander nehne und jeden Teil versuche einzeln zu verstehen, bevor ich das ganze verstehe. Sollte es garnicht klappen, nutze ich chatgpt und frage, was der Autor mir mit dem Text wahrscheinlich sagen möchte, aber das passiert sehr selten.</t>
  </si>
  <si>
    <t xml:space="preserve">Manchmal</t>
  </si>
  <si>
    <t xml:space="preserve">Ich nutze Notion.so, eine Online App worin ich für jedes Studienfach eine eigene Seite anlege. Darin lege ich dann Tabellen an wo jede Zeile ein Konzept ist. Darin bearbeite ich dann die Lerninhalte und habe immer eine Übersicht über meinen Fortschritt</t>
  </si>
  <si>
    <t xml:space="preserve">immer</t>
  </si>
  <si>
    <t xml:space="preserve">Oft</t>
  </si>
  <si>
    <t xml:space="preserve">Weil die Inhalte auch in Büchern oder Skripten verschriftlicht sind, höre ich Live Verantstaltungen lediglich zu. Ich versuche mich auf das zuhören zu konzentrieren und herauszuhören, was besonders wichtig ist. Am Ende mache ich mir aus dem Gedächtnis Notizen, was besonders interessant war und was ich vertiefen möchte</t>
  </si>
  <si>
    <t xml:space="preserve">Das habe ich bereits beantwortet</t>
  </si>
  <si>
    <t xml:space="preserve">Du hast gefragt wie ich mit unverständlichen Konzepten umgehen. Ich habe dir das beantwortet. Du hast schon geschrieben: "Die Methode, einen eigenen Erklärungstext zu schreiben, ist auch sehr hilfreich. Indem du die Inhalte in kleinere Teile aufspaltest und jeden Teil einzeln verstehst, kannst du komplexe Informationen besser aufnehmen und verarbeiten."
Was genau willst du dann noch von mir wissen? Beantwortet das nicht die Frage schon?</t>
  </si>
  <si>
    <t xml:space="preserve">Was kann ich noch beim Lernen besser machen und optimieren? Kannst du mir Tipps, Vorschläge geben, über Dinge die ich noch nicht mache oder die noch hilfreich wären?</t>
  </si>
  <si>
    <t xml:space="preserve">Ich bin offen für neue Strategien. Meine bekannten Strategien kennst du ja jetzt vom Chatverlauf</t>
  </si>
  <si>
    <t xml:space="preserve">Denkst du noch nach? Du hast noch keine Vorschläge geschrieben</t>
  </si>
  <si>
    <t xml:space="preserve">Danke. Das sind alles, bis auf Lerngruppen, bereits Dinge die ich tue und dir mehr oder weniger schon geschildert habe. Also habe ich im Grunde nicht viel zu verbessern?</t>
  </si>
  <si>
    <t xml:space="preserve">Informationsmanagement</t>
  </si>
  <si>
    <t xml:space="preserve">Lerngruppe, Zusammenfassungen</t>
  </si>
  <si>
    <t xml:space="preserve">Lesen und wichtiges markieren</t>
  </si>
  <si>
    <t xml:space="preserve">Screenshots und Notizen</t>
  </si>
  <si>
    <t xml:space="preserve">Ich hab noch nie eine geschrieben</t>
  </si>
  <si>
    <t xml:space="preserve">Altklausuren Zusammenfassung lernen wiederholen</t>
  </si>
  <si>
    <t xml:space="preserve">Checklisten</t>
  </si>
  <si>
    <t xml:space="preserve">Einfach machen</t>
  </si>
  <si>
    <t xml:space="preserve">Keine speziellen, kommt auf die Aufgabe an</t>
  </si>
  <si>
    <t xml:space="preserve">Rechnen bei Kalkulationen</t>
  </si>
  <si>
    <t xml:space="preserve">Ich wende die Lösungsansätze an</t>
  </si>
  <si>
    <t xml:space="preserve">Ich übe einfach anhand den vorgegeben Lösungswegen</t>
  </si>
  <si>
    <t xml:space="preserve">Hi, I’m trying to learn Spanish, I study international economics bachelor degree now</t>
  </si>
  <si>
    <t xml:space="preserve">I wrote key words down when in the lecture and look up things I don’t understand</t>
  </si>
  <si>
    <t xml:space="preserve">Read it through later to see how much I understand</t>
  </si>
  <si>
    <t xml:space="preserve">I actively try to identify areas I’m not so sure about</t>
  </si>
  <si>
    <t xml:space="preserve">Go through my old notes and mark the part I was not sure about, then do mock exams to text my knowledge</t>
  </si>
  <si>
    <t xml:space="preserve">Cross checking for each chapter</t>
  </si>
  <si>
    <t xml:space="preserve">Okay</t>
  </si>
  <si>
    <t xml:space="preserve">Stand up and do something else</t>
  </si>
  <si>
    <t xml:space="preserve">Ok</t>
  </si>
  <si>
    <t xml:space="preserve">Build a big frame work first and start doing research and then write</t>
  </si>
  <si>
    <t xml:space="preserve">thank you</t>
  </si>
  <si>
    <t xml:space="preserve">Hello my degree is in audiology</t>
  </si>
  <si>
    <t xml:space="preserve">Making summaries of the different tests and comparing benefit and limitations of each</t>
  </si>
  <si>
    <t xml:space="preserve">Stop working and start again early in the morning, I don't like working late at night and am more productive in the morning</t>
  </si>
  <si>
    <t xml:space="preserve">Practice questions or cases , past papers</t>
  </si>
  <si>
    <t xml:space="preserve">Practice papers under timed conditions, review key points and summary notes</t>
  </si>
  <si>
    <t xml:space="preserve">Note taking during lectures and then reviewing and summarising after</t>
  </si>
  <si>
    <t xml:space="preserve">Mind maps</t>
  </si>
  <si>
    <t xml:space="preserve">Planning overall structure, literature review</t>
  </si>
  <si>
    <t xml:space="preserve">I believe they have been helpful</t>
  </si>
  <si>
    <t xml:space="preserve">My degree is in strategic quality management</t>
  </si>
  <si>
    <t xml:space="preserve">I use the rote method and use different colours to memorise</t>
  </si>
  <si>
    <t xml:space="preserve">I use these frequently</t>
  </si>
  <si>
    <t xml:space="preserve">I do this occasionally</t>
  </si>
  <si>
    <t xml:space="preserve">I reread the material and try to reword it to make sure I understand it</t>
  </si>
  <si>
    <t xml:space="preserve">i make a note of key words and draw spider diagrams for anything i think is related</t>
  </si>
  <si>
    <t xml:space="preserve">i put on relaxing music and start with the easiest and quickest parts first</t>
  </si>
  <si>
    <t xml:space="preserve">i use a spider diagram and create a skeleton to expand on from there</t>
  </si>
  <si>
    <t xml:space="preserve">i would compare my answers to the real answers after trying the test</t>
  </si>
  <si>
    <t xml:space="preserve">i find the environmental structuring and using the pomodoro method most helpful</t>
  </si>
  <si>
    <t xml:space="preserve">Hey! I'm currently studying in a master's program of Peace, Mediation and Conflict Research. I started this Autumn. Previously I did a bachelor's degree on Social sciences research</t>
  </si>
  <si>
    <t xml:space="preserve">I often procrastinate a lot until there's not much time. I might go to the university or buy myself a coca cola to have something to motivate myself while studying.</t>
  </si>
  <si>
    <t xml:space="preserve">Occasionally (2).</t>
  </si>
  <si>
    <t xml:space="preserve">I usually try to create an environment where I can focus, so where it is quiet. Sometimes I listen to instrumental music for better consentration. I try to highlight the text and take notes on my laptop to stay on track with the text. Recently I tried the pomodoro technique and it seems worth trying again.</t>
  </si>
  <si>
    <t xml:space="preserve">I write notes on a document on my laptop.</t>
  </si>
  <si>
    <t xml:space="preserve">I see if there are instructions on the structure. If not I usually start reading the sources and gather notes. Sometimes I use the help of chatgpt for the structure</t>
  </si>
  <si>
    <t xml:space="preserve">What kind of a situation do you mean?</t>
  </si>
  <si>
    <t xml:space="preserve">When learning how to do rope climbing I first went through a course that thought the basics and the safety instructions. Then I started practicing with my friend weekly to develop a good habit for the hobby and get used to the techniques</t>
  </si>
  <si>
    <t xml:space="preserve">I go over the given material and write myself notes. I practise the speech at home</t>
  </si>
  <si>
    <t xml:space="preserve">We usually share the tasks and each focus on the given part. Then we see what we have come up with and remove any overlaps and add what seems to be missing</t>
  </si>
  <si>
    <t xml:space="preserve">I don't understand the question</t>
  </si>
  <si>
    <t xml:space="preserve">I go over the notes to see how the case reflects the subject at hand. Then I look for articles that give more information on it</t>
  </si>
  <si>
    <t xml:space="preserve">Praktische Informatik</t>
  </si>
  <si>
    <t xml:space="preserve">Ich wiederhole die Einsendeaufgaben und schreibe eine Prüfungszusammenfassung, mit welcher ich dann lerne</t>
  </si>
  <si>
    <t xml:space="preserve">Ich suche nach guten Quellen um einen Einstieg in das Thema zu finden. Anschließend erstelle ich eine Gliederung und versuche mich anhand dieser durch das Thema zu hangeln.</t>
  </si>
  <si>
    <t xml:space="preserve">Ich versuche die einzelnen Kapitel des Kurstextes zusammenzufassen um die Inhalte schriftlich festzuhalten.</t>
  </si>
  <si>
    <t xml:space="preserve">Ich versuche das Problem in kleinere Teilprobleme zu zerteilen und diese einzeln zu lösen</t>
  </si>
  <si>
    <t xml:space="preserve">Wenn es Folien gibt versuche ich sinnvolle Hinweise als Notizen an den Vorlesungsfolien zu ergänzen</t>
  </si>
  <si>
    <t xml:space="preserve">Ich lese sie durch und bearbeite sie</t>
  </si>
  <si>
    <t xml:space="preserve">Keine Ahnung wie ich das erläutern soll</t>
  </si>
  <si>
    <t xml:space="preserve">Ich weiß es nicht. Ich arbeite sie chronologisch von oben nach unten ab.</t>
  </si>
  <si>
    <t xml:space="preserve">Ich kontrolliere meine Lösungen im Nachgang mit der Musterlösung</t>
  </si>
  <si>
    <t xml:space="preserve">Es fehlt noch die Zusammenfassung</t>
  </si>
  <si>
    <t xml:space="preserve">Mathematik</t>
  </si>
  <si>
    <t xml:space="preserve">Bei meine Drittversuch aus meinem letzten Studium. Da war die Vorbereitung nochmal 1000x stressiger, weil es dort um alles ging.</t>
  </si>
  <si>
    <t xml:space="preserve">Mündliche Prüfungen mit Fragen zu Skripten (im besten Fall gibt es Beispiele wie Fragen aussehen). Bei schriftlichen Prüfungen mit Zusammenfassungen und Übungsaufgaben. In dem Fall war es jetzt speziell dass ich mir alle Aufgaben rausgeschrieben habe und diese erst mit Hilfe der Lösung gelöst habe und dann ein “Guidebook” gemacht hab. Dann immer und immer wieder geübt</t>
  </si>
  <si>
    <t xml:space="preserve">Was ist Organisieren und Umstrukturieren?</t>
  </si>
  <si>
    <t xml:space="preserve">3 aber ich hab Probleme das beizubehalten. Am Anfang bin ich sehr motiviert und am Ende geht nichts mehr</t>
  </si>
  <si>
    <t xml:space="preserve">Habe keine bestimmten Zeiten. Normal mache ich es je nach Motivation. Pausen mache ich auch nur wenn ich muss.</t>
  </si>
  <si>
    <t xml:space="preserve">Ich lese erst das Skript und markiere mir alles wichtige. Dann will ich nochmal durchgehen und Notizen machen   Soweit bin ich aber bisher nie gekommen</t>
  </si>
  <si>
    <t xml:space="preserve">Ich kann mich teilweise einfach nicht dazu bringen. Ich hab Probleme dabei mich an einen Plan zu halten und lasse auch oft normale Arbeiten wie Putzen links liegen wenn ich keine Lust habe oder grad nicht will</t>
  </si>
  <si>
    <t xml:space="preserve">Ich will es machen aber irgendwas hält mich davon ab. Und dann muss ich irgendwann so viel machen, dass ich gar nicht erst anfangen will</t>
  </si>
  <si>
    <t xml:space="preserve">1. Da bin ich schlecht drin weil ich ohne z.B. Musik oder Videos im Hintergrund mich erst gar nicht konzentrieren kann</t>
  </si>
  <si>
    <t xml:space="preserve">Ich verstehe es selber nicht aber wenn es zu still ist habe ich im Allgemeinen Probleme. Es geht auch nicht um den Inhalt sondern einfach nur, dass da was ist</t>
  </si>
  <si>
    <t xml:space="preserve">1 glaub ich? Kann ich nur schwer beantworten</t>
  </si>
  <si>
    <t xml:space="preserve">Meistens aufhören. Je nach dem was es ist kann es aber auch sein, dass ich mich dran festbeiße und dann für Stunden dran sitze und am Ende trotzdem nichts rausgekommen ist</t>
  </si>
  <si>
    <t xml:space="preserve">Das gilt nicht nur fürs Lernen. Ist aber ein bekanntest Problem bei mir. Muss mal nur rausfinden wie ich das am Besten mache</t>
  </si>
  <si>
    <t xml:space="preserve">Mir geht es hauptsächlich drum eine Lernstrategie zu finden die mir auch hilft und mich nicht irgendwann nervt bzw. frustriert.</t>
  </si>
  <si>
    <t xml:space="preserve">Videospiele spielen, Lesen und hoffentlich bald wieder Sport machen sind meine Lieblingsaktivitäten. 
Normal durch Lesen mit Zusatz des anschaulichen Erklärens. Ich hab oft Probleme Zusammenhänge direkt zu verstehen und teils auch Sätze zu verstehen. 
Ziele sind einfach mir einen Plan zu machen an den ich mich auch halten kann und keine Deadlines zu verpassen</t>
  </si>
  <si>
    <t xml:space="preserve">Je nach dem. Ich habe Kontakte im Studium die ich fragen kann wenn ich Hilfe brauche aber das mache ich ungern weil ich teils selbst die Erklärungen nicht verstehe. Es geht auch nicht drum, dass ich die Sätze nicht verstehe sondern eher, dass der Sinn bzw. die Zusammenhänge teils nicht offensichtlich sind für mich. Ich lese es zwar und verstehe es ohne es wirklich in Zusammenhang zu bringen. Macht das Sinn?</t>
  </si>
  <si>
    <t xml:space="preserve">Vielleicht Visualisierungen auf einem Whiteboard machen. Also bei Zusammenfassungen erstmal alle Themen aufschreiben und dann vielleicht durch eine MindMap zusammenhänge sichtbar machen und dann ins Detail gehen? Ich weiß nicht ob es für mich funktioniert, aber das war mal eine grobe Idee, die ich hatte</t>
  </si>
  <si>
    <t xml:space="preserve">Ein bisschen. Ich sehe es immer noch schwierig weil ich nicht weiß ob ich mich wirklich dran halten werde aber ein Versuch ist es wert</t>
  </si>
  <si>
    <t xml:space="preserve">I am studying Economics</t>
  </si>
  <si>
    <t xml:space="preserve">i would try to make some summaries and ask AI to create some questions that help me to see where I am not enough prepared</t>
  </si>
  <si>
    <t xml:space="preserve">seldom, only when I think it is needed</t>
  </si>
  <si>
    <t xml:space="preserve">i did not really understand what you mean by practice problem set and what kınd of methods you mean. Can you explain better?</t>
  </si>
  <si>
    <t xml:space="preserve">I would firstly try to do the task myself without help of anything. afterwards, I would check my answers and ask my questions to an AI or, if possible, to my lecturer.</t>
  </si>
  <si>
    <t xml:space="preserve">actually I didn’t mean to say this. What I acctually meant was that I use AI most of the time but you asked me if I use ‘during workıng on a practice test’. I don’t seek out help during workıng on a practice test, instead I seek out help ‘after’ practice test. So, let move on to the new questıon you asked: I usually take some notes during the presentation and afterwards I create some ‘question cards’, whıch includes the informatıon I want to remember. I take a look at th</t>
  </si>
  <si>
    <t xml:space="preserve">Firstly, I usually do not feel unmotivated but if I feel unmotivated I tend to think about my future plans and reflect on how important this degree for my future is</t>
  </si>
  <si>
    <t xml:space="preserve">most effective way is learning the logic behind the information, only in this way we can learn and retain informations</t>
  </si>
  <si>
    <t xml:space="preserve">an example in my case is reading books: in my lectures informations are not deep enough and I try to learn deeply by reading books and doing some research. Another important aspect is also questioning everything, if you seek the reason behind everything and ask the question ‘why’, it is much easier to understand the logıc behind an information</t>
  </si>
  <si>
    <t xml:space="preserve">I actually I have never written any kind of scinetific paper yet, so I dont think I am the right person to ask this.</t>
  </si>
  <si>
    <t xml:space="preserve">I would research the requirements of a scientific paper and then determine in which order and which Informations I will write</t>
  </si>
  <si>
    <t xml:space="preserve">I would decide the content based on my motivation to that topic, I would write the content I am motivated to write. For deciding on the order, most important thing would be clea</t>
  </si>
  <si>
    <t xml:space="preserve">I meant clear to my readers</t>
  </si>
  <si>
    <t xml:space="preserve">Thank you!</t>
  </si>
  <si>
    <t xml:space="preserve">I would ask my friends to read it and give feedbacks</t>
  </si>
  <si>
    <t xml:space="preserve">no</t>
  </si>
  <si>
    <t xml:space="preserve">Yes!</t>
  </si>
  <si>
    <t xml:space="preserve">I said yes for the question ‘Sound good?’</t>
  </si>
  <si>
    <t xml:space="preserve">I am ready</t>
  </si>
  <si>
    <t xml:space="preserve">Yes please</t>
  </si>
  <si>
    <t xml:space="preserve">You asked me if I like you to share additional resources and tipps with you. regarding that question I said yes.</t>
  </si>
  <si>
    <t xml:space="preserve">Wirtschaftsinformatik</t>
  </si>
  <si>
    <t xml:space="preserve">bis jetzt hab ich noch keine Arbeit verfassen müssen</t>
  </si>
  <si>
    <t xml:space="preserve">ich verschaffe mir einen Überblick über die Themen und lese mich danach tiefer ein</t>
  </si>
  <si>
    <t xml:space="preserve">ich bearbeite die Übungsaufgaben nach dem lesen der Kurseinheit um mein Verständnis zu testen</t>
  </si>
  <si>
    <t xml:space="preserve">mittels Mentoriaten oder Videos</t>
  </si>
  <si>
    <t xml:space="preserve">es kommt immer auf das fach an, aber hauptsächlich wende ich mich an Mentoriate</t>
  </si>
  <si>
    <t xml:space="preserve">ist starte eine Aufnahme</t>
  </si>
  <si>
    <t xml:space="preserve">ich würde Aufzeichnung (004-003) anwenden</t>
  </si>
  <si>
    <t xml:space="preserve">ich versuche mir einen überblick zu verschaffen, was das Projekt oder die Aufgabe umfasst</t>
  </si>
  <si>
    <t xml:space="preserve">ich lerne eine Woche davor nochmal intensiver</t>
  </si>
  <si>
    <t xml:space="preserve">Im studying phonetics and germanistics</t>
  </si>
  <si>
    <t xml:space="preserve">I would try to take notes and stress out the important parts, take some pictures of the inportant slides and try to ask the professor after the presentation if there are any things that werent clear. I would also look what literature is suggested for the course and if it helps, i would borrow it and study with it</t>
  </si>
  <si>
    <t xml:space="preserve">i never use highlighters, so that would be a 1 and with underlining id say a 3</t>
  </si>
  <si>
    <t xml:space="preserve">i brainstorm notes and sources i would use and from those i will try to make a structure for my paper and then id hold onto the structure while actually writing the paper</t>
  </si>
  <si>
    <t xml:space="preserve">It depends on the paper but id say 3</t>
  </si>
  <si>
    <t xml:space="preserve">trying to fill them in with what i know or the notes from classes or i would look the topics up</t>
  </si>
  <si>
    <t xml:space="preserve">i struggle with motivation in this case so i would stay up late until im forced to do the task or skip it</t>
  </si>
  <si>
    <t xml:space="preserve">i usually just procrastinate until i feel too bad and then i start the task</t>
  </si>
  <si>
    <t xml:space="preserve">just repeating or going through the materials, im still figuring that out</t>
  </si>
  <si>
    <t xml:space="preserve">reading notes and presentations again and when theres something i struggle with remembering i focus on it and try to remember it</t>
  </si>
  <si>
    <t xml:space="preserve">most of the time when studying for an exam</t>
  </si>
  <si>
    <t xml:space="preserve">4, but i only do that before exams, i havent built the habit of studying frequently</t>
  </si>
  <si>
    <t xml:space="preserve">read through the materials</t>
  </si>
  <si>
    <t xml:space="preserve">i find the notes from the classes and go through them, see if i understand everything</t>
  </si>
  <si>
    <t xml:space="preserve">Total Result</t>
  </si>
  <si>
    <t xml:space="preserve">See below for key to question codes. Incomplete responses have been excluded from analysis.</t>
  </si>
  <si>
    <t xml:space="preserve">Cells highlighted in blue contain responses from pilot evaluation survey</t>
  </si>
  <si>
    <t xml:space="preserve">id. Response ID</t>
  </si>
  <si>
    <t xml:space="preserve">submitdate. Date submitted</t>
  </si>
  <si>
    <t xml:space="preserve">lastpage. Last page</t>
  </si>
  <si>
    <t xml:space="preserve">startlanguage. Start language</t>
  </si>
  <si>
    <t xml:space="preserve">seed. Seed</t>
  </si>
  <si>
    <t xml:space="preserve">startdate. Date started</t>
  </si>
  <si>
    <t xml:space="preserve">datestamp. Date last action</t>
  </si>
  <si>
    <t xml:space="preserve">BUS[SQ001]</t>
  </si>
  <si>
    <t xml:space="preserve">BUS[SQ002]</t>
  </si>
  <si>
    <t xml:space="preserve">BUS[SQ003]</t>
  </si>
  <si>
    <t xml:space="preserve">BUS[SQ004]</t>
  </si>
  <si>
    <t xml:space="preserve">BUS[SQ005]</t>
  </si>
  <si>
    <t xml:space="preserve">BUS[SQ006]</t>
  </si>
  <si>
    <t xml:space="preserve">BUS[SQ007]</t>
  </si>
  <si>
    <t xml:space="preserve">BUS[SQ008]</t>
  </si>
  <si>
    <t xml:space="preserve">BUS[SQ009]</t>
  </si>
  <si>
    <t xml:space="preserve">BUS[SQ010]</t>
  </si>
  <si>
    <t xml:space="preserve">StrategyAccuracy</t>
  </si>
  <si>
    <t xml:space="preserve">StrategyReflection</t>
  </si>
  <si>
    <t xml:space="preserve">ChatbotFamiliarity</t>
  </si>
  <si>
    <t xml:space="preserve">LlmUse</t>
  </si>
  <si>
    <t xml:space="preserve">Age</t>
  </si>
  <si>
    <t xml:space="preserve">Nationality</t>
  </si>
  <si>
    <t xml:space="preserve">Edu</t>
  </si>
  <si>
    <t xml:space="preserve">CurrentEdu</t>
  </si>
  <si>
    <t xml:space="preserve">Grade</t>
  </si>
  <si>
    <t xml:space="preserve">Gender</t>
  </si>
  <si>
    <t xml:space="preserve">2024-10-17 12:27:23</t>
  </si>
  <si>
    <t xml:space="preserve">en</t>
  </si>
  <si>
    <t xml:space="preserve">2024-10-17 12:25:46</t>
  </si>
  <si>
    <t xml:space="preserve">Yes, it highlighted that I only use study techniques by myself and that I could benefit from having group study sessions and online tutorials to supplement my studies.</t>
  </si>
  <si>
    <t xml:space="preserve">British</t>
  </si>
  <si>
    <t xml:space="preserve">BSc/Undergraduate</t>
  </si>
  <si>
    <t xml:space="preserve">MSc/Masters</t>
  </si>
  <si>
    <t xml:space="preserve">Not known</t>
  </si>
  <si>
    <t xml:space="preserve">Female</t>
  </si>
  <si>
    <t xml:space="preserve">2024-10-17 14:37:19</t>
  </si>
  <si>
    <t xml:space="preserve">de</t>
  </si>
  <si>
    <t xml:space="preserve">2024-10-17 14:33:34</t>
  </si>
  <si>
    <t xml:space="preserve">Der Chatbot hat mir mehrere Strategien aufgelistet, von denen ich bereits alle bis auf einen "Lerngruppen" häufig nutze. Also sehr viel weiter hat mir der Chatbot dann nicht mehr geholfen oder mir neue, kreative Strategien vorgeschlagen. Der Chatbot hätte mir z.B. aufgrund meiner guten Lernstrategien noch "Learning by teaching" empfehlen können, hat er aber nicht getan. Es gibt sicher noch mehr, was der Chatbot wissen könnte, um auch High achiever im Studium besser einzugehen</t>
  </si>
  <si>
    <t xml:space="preserve">deutsch</t>
  </si>
  <si>
    <t xml:space="preserve">Master</t>
  </si>
  <si>
    <t xml:space="preserve">Bachelor of Science Psychologie</t>
  </si>
  <si>
    <t xml:space="preserve">Male</t>
  </si>
  <si>
    <t xml:space="preserve">2024-10-17 18:26:44</t>
  </si>
  <si>
    <t xml:space="preserve">2024-10-17 18:25:48</t>
  </si>
  <si>
    <t xml:space="preserve">2024-10-17 18:26:43</t>
  </si>
  <si>
    <t xml:space="preserve">-</t>
  </si>
  <si>
    <t xml:space="preserve">1,4</t>
  </si>
  <si>
    <t xml:space="preserve">2024-10-18 11:48:04</t>
  </si>
  <si>
    <t xml:space="preserve">2024-10-18 11:45:49</t>
  </si>
  <si>
    <t xml:space="preserve">Bis auf eine Nachfrage zu einer Strategie, die ignoriert wurde war das Gespräch gut und auch hilfreich nochmal Strategie zu sprechen und ob/wie es ausgereift werden kann</t>
  </si>
  <si>
    <t xml:space="preserve">Bachelor</t>
  </si>
  <si>
    <t xml:space="preserve">Master (und Bachelor)</t>
  </si>
  <si>
    <t xml:space="preserve">2024-10-20 21:47:40</t>
  </si>
  <si>
    <t xml:space="preserve">2024-10-20 21:44:41</t>
  </si>
  <si>
    <t xml:space="preserve">I got a summary of what ive written to the chatbot and about two recommendations (finding a tutor or an online class) if i was struggling</t>
  </si>
  <si>
    <t xml:space="preserve">czech</t>
  </si>
  <si>
    <t xml:space="preserve">high school</t>
  </si>
  <si>
    <t xml:space="preserve">bachelors</t>
  </si>
  <si>
    <t xml:space="preserve">2024-10-26 15:15:16</t>
  </si>
  <si>
    <t xml:space="preserve">2024-10-26 15:01:07</t>
  </si>
  <si>
    <t xml:space="preserve">Actually no, I think the suggestions that chat bot gave in the last message were so general and not really related to my needs. It also would be better to explain suggestions deeper instead of just explaning with one sentence.</t>
  </si>
  <si>
    <t xml:space="preserve">Turkey</t>
  </si>
  <si>
    <t xml:space="preserve">Highschool</t>
  </si>
  <si>
    <t xml:space="preserve">1.8(1 ist best, 6 is worst)</t>
  </si>
  <si>
    <t xml:space="preserve">2024-10-27 16:30:10</t>
  </si>
  <si>
    <t xml:space="preserve">2024-10-27 16:22:18</t>
  </si>
  <si>
    <t xml:space="preserve">Der Chatbot hat mir ein paar neue Strategien zum Ausprobieren vorgeschlagen, z.B. ein Ritual vor dem Lernen, um mich darauf einzustimmen und zu motivieren. Auf Nachfrage kamen noch mehr Vorschläge.</t>
  </si>
  <si>
    <t xml:space="preserve">Deutsch</t>
  </si>
  <si>
    <t xml:space="preserve">Berufsausbildung</t>
  </si>
  <si>
    <t xml:space="preserve">Fachweiterbildung</t>
  </si>
  <si>
    <t xml:space="preserve">2024-10-27 19:17:07</t>
  </si>
  <si>
    <t xml:space="preserve">2024-10-27 19:10:42</t>
  </si>
  <si>
    <t xml:space="preserve">Yes It made me recognise the strategies I use and benefits of this e.g. organising and transforming 
It discussed elaboration techniques which was an interesting point that I use less regularly</t>
  </si>
  <si>
    <t xml:space="preserve">Masters</t>
  </si>
  <si>
    <t xml:space="preserve">Distinction</t>
  </si>
  <si>
    <t xml:space="preserve">2024-10-28 16:17:19</t>
  </si>
  <si>
    <t xml:space="preserve">2024-10-28 16:14:10</t>
  </si>
  <si>
    <t xml:space="preserve">I think the strategies that the bot mentioned in the final message were a summary of what was said before so it did not really make me think any further</t>
  </si>
  <si>
    <t xml:space="preserve">Finnish</t>
  </si>
  <si>
    <t xml:space="preserve">Bachelor's degree</t>
  </si>
  <si>
    <t xml:space="preserve">Master's degree</t>
  </si>
  <si>
    <t xml:space="preserve">4 (on a scale of 1-5 where 1 is the first passing grade and 5 is the best)</t>
  </si>
  <si>
    <t xml:space="preserve">2024-10-29 12:27:17</t>
  </si>
  <si>
    <t xml:space="preserve">2024-10-29 11:53:07</t>
  </si>
  <si>
    <t xml:space="preserve">I feel like my chat with the studybot was very thought provoking as I had to look through the list it compiled about my studying habits. To be honest I usually don’t think about the habits or methods I use, I just do them. So it was nice to “hear” that they are actually working methods. And I also got some pointers and ideas on how to stop or prevent procrastination.</t>
  </si>
  <si>
    <t xml:space="preserve">Hungarian</t>
  </si>
  <si>
    <t xml:space="preserve">Bachelor’s degree at university</t>
  </si>
  <si>
    <t xml:space="preserve">Master’s degree</t>
  </si>
  <si>
    <t xml:space="preserve">2024-09-02 20:25:18</t>
  </si>
  <si>
    <t xml:space="preserve">2024-09-02 20:22:33</t>
  </si>
  <si>
    <t xml:space="preserve">It summarizes what I do into “methodology” which is much more accurate than me saying I do this and that</t>
  </si>
  <si>
    <t xml:space="preserve">Chinese</t>
  </si>
  <si>
    <t xml:space="preserve">High school</t>
  </si>
  <si>
    <t xml:space="preserve">Bachelor last year</t>
  </si>
  <si>
    <t xml:space="preserve">B</t>
  </si>
  <si>
    <t xml:space="preserve">2024-09-03 21:12:24</t>
  </si>
  <si>
    <t xml:space="preserve">2024-09-03 21:10:25</t>
  </si>
  <si>
    <t xml:space="preserve">Ja, kann mich leider nicht mehr erinnern</t>
  </si>
  <si>
    <t xml:space="preserve">Österreich</t>
  </si>
  <si>
    <t xml:space="preserve">Matura</t>
  </si>
  <si>
    <t xml:space="preserve">2024-09-17 15:08:01</t>
  </si>
  <si>
    <t xml:space="preserve">2024-09-17 14:58:28</t>
  </si>
  <si>
    <t xml:space="preserve">Nein, es wurde nur das zusammen gefasst, das ich gesagt habe, aber keine neuen Anregungen gegeben.</t>
  </si>
  <si>
    <t xml:space="preserve">Staatlich geprüfter Betriebswirt</t>
  </si>
  <si>
    <t xml:space="preserve">Bachelor Wirtschaftsinformatik</t>
  </si>
  <si>
    <t xml:space="preserve">The chatbot function was easily detectable</t>
  </si>
  <si>
    <t xml:space="preserve">It was easy to find the chatbot</t>
  </si>
  <si>
    <t xml:space="preserve">Communicating with the chatbot was clear</t>
  </si>
  <si>
    <t xml:space="preserve">The chatbot was able to keep track of context</t>
  </si>
  <si>
    <t xml:space="preserve">The chatbot’s responses were easy to understand</t>
  </si>
  <si>
    <t xml:space="preserve">I find that the chatbot understands what I want and helps me achieve my goal</t>
  </si>
  <si>
    <t xml:space="preserve">The chatbot gives me the appropriate amount of information</t>
  </si>
  <si>
    <t xml:space="preserve">The chatbot only gives me the information I need</t>
  </si>
  <si>
    <t xml:space="preserve">I feel like the chatbot’s responses were accurate</t>
  </si>
  <si>
    <t xml:space="preserve">My waiting time for a response from the chatbot was short</t>
  </si>
  <si>
    <t xml:space="preserve">Do you think the chatbot accurately recognised and summarised the strategies you mentioned?</t>
  </si>
  <si>
    <t xml:space="preserve">How familiar are you with chatbots and/or other conversational interfaces?</t>
  </si>
  <si>
    <t xml:space="preserve">How frequently do you use AI/Large Language Models (LLM) for work or education?</t>
  </si>
  <si>
    <t xml:space="preserve">Strongly Agree (Daily)</t>
  </si>
  <si>
    <t xml:space="preserve">Agree (Very Often)</t>
  </si>
  <si>
    <t xml:space="preserve">No opinion (Sometimes)</t>
  </si>
  <si>
    <t xml:space="preserve">Disagree (Rarely)</t>
  </si>
  <si>
    <t xml:space="preserve">Strongly Disagree (Never)</t>
  </si>
  <si>
    <t xml:space="preserve">Min</t>
  </si>
  <si>
    <t xml:space="preserve">Max</t>
  </si>
  <si>
    <t xml:space="preserve">Mean</t>
  </si>
  <si>
    <t xml:space="preserve">Mean2</t>
  </si>
  <si>
    <t xml:space="preserve">Standard Deviation</t>
  </si>
  <si>
    <t xml:space="preserve">Question codes:</t>
  </si>
  <si>
    <t xml:space="preserve">BUS[SQ001]. Please indicate your level of agreement with the following statements. (1) Strongly disagree - (5) Strongly agree [The chatbot function was easily detectable]</t>
  </si>
  <si>
    <t xml:space="preserve">BUS[SQ002]. Please indicate your level of agreement with the following statements. (1) Strongly disagree - (5) Strongly agree [It was easy to find the chatbot]</t>
  </si>
  <si>
    <t xml:space="preserve">BUS[SQ003]. Please indicate your level of agreement with the following statements. (1) Strongly disagree - (5) Strongly agree [Communicating with the chatbot was clear]</t>
  </si>
  <si>
    <t xml:space="preserve">BUS[SQ004]. Please indicate your level of agreement with the following statements. (1) Strongly disagree - (5) Strongly agree [The chatbot was able to keep track of context]</t>
  </si>
  <si>
    <t xml:space="preserve">BUS[SQ005]. Please indicate your level of agreement with the following statements. (1) Strongly disagree - (5) Strongly agree [The chatbot’s responses were easy to understand]</t>
  </si>
  <si>
    <t xml:space="preserve">BUS[SQ006]. Please indicate your level of agreement with the following statements. (1) Strongly disagree - (5) Strongly agree [I find that the chatbot understands what I want and helps me achieve my goal]</t>
  </si>
  <si>
    <t xml:space="preserve">BUS[SQ007]. Please indicate your level of agreement with the following statements. (1) Strongly disagree - (5) Strongly agree [The chatbot gives me the appropriate amount of information]</t>
  </si>
  <si>
    <t xml:space="preserve">BUS[SQ008]. Please indicate your level of agreement with the following statements. (1) Strongly disagree - (5) Strongly agree [The chatbot only gives me the information I need]</t>
  </si>
  <si>
    <t xml:space="preserve">BUS[SQ009]. Please indicate your level of agreement with the following statements. (1) Strongly disagree - (5) Strongly agree [I feel like the chatbot’s responses were accurate]</t>
  </si>
  <si>
    <t xml:space="preserve">BUS[SQ010]. Please indicate your level of agreement with the following statements. (1) Strongly disagree - (5) Strongly agree [My waiting time for a response from the chatbot was short]</t>
  </si>
  <si>
    <t xml:space="preserve">StrategyAccuracy. In the last message, you received feedback about your learning strategies. Do you think the chatbot accurately recognised and summarised the strategies you mentioned? (1) Strongly disagree - (5) Strongly agree</t>
  </si>
  <si>
    <t xml:space="preserve">StrategyReflection. In the last message, you received feedback about your learning strategies. Did this feedback help you think about the strategies you mentioned or consider additional strategies that weren’t discussed in your conversation with the chatbot? If yes, could you provide an example?</t>
  </si>
  <si>
    <t xml:space="preserve">ChatbotFamiliarity. How familiar are you with chatbots and/or other conversational interfaces? (1) Not familar at all - (5) Very familiar</t>
  </si>
  <si>
    <t xml:space="preserve">LlmUse. How frequently do you use AI/Large Language Models (LLM) for work or education? (1) Never - (5) Daily</t>
  </si>
  <si>
    <t xml:space="preserve">Age. What is your age?</t>
  </si>
  <si>
    <t xml:space="preserve">Nationality. What is your nationality?</t>
  </si>
  <si>
    <t xml:space="preserve">Edu. What is your highest completed level of education?</t>
  </si>
  <si>
    <t xml:space="preserve">CurrentEdu. Which level of degree are you currently enrolled in?</t>
  </si>
  <si>
    <t xml:space="preserve">Grade. What is your estimated average grade (if known)?</t>
  </si>
  <si>
    <t xml:space="preserve">Gender. What gender do you identify as?</t>
  </si>
  <si>
    <t xml:space="preserve">strategy</t>
  </si>
  <si>
    <t xml:space="preserve">SU</t>
  </si>
  <si>
    <t xml:space="preserve">SF</t>
  </si>
  <si>
    <t xml:space="preserve">SC</t>
  </si>
  <si>
    <t xml:space="preserve">001-001</t>
  </si>
  <si>
    <t xml:space="preserve">001-002</t>
  </si>
  <si>
    <t xml:space="preserve">002-001</t>
  </si>
  <si>
    <t xml:space="preserve">003-001</t>
  </si>
  <si>
    <t xml:space="preserve">004-001</t>
  </si>
  <si>
    <t xml:space="preserve">004-002</t>
  </si>
  <si>
    <t xml:space="preserve">004-003</t>
  </si>
  <si>
    <t xml:space="preserve">004-004</t>
  </si>
  <si>
    <t xml:space="preserve">005-001</t>
  </si>
  <si>
    <t xml:space="preserve">005-002</t>
  </si>
  <si>
    <t xml:space="preserve">006-001</t>
  </si>
  <si>
    <t xml:space="preserve">006-002</t>
  </si>
  <si>
    <t xml:space="preserve">007-001</t>
  </si>
  <si>
    <t xml:space="preserve">007-002</t>
  </si>
  <si>
    <t xml:space="preserve">007-003</t>
  </si>
  <si>
    <t xml:space="preserve">007-004</t>
  </si>
  <si>
    <t xml:space="preserve">007-005</t>
  </si>
  <si>
    <t xml:space="preserve">008-001</t>
  </si>
  <si>
    <t xml:space="preserve">ID</t>
  </si>
  <si>
    <t xml:space="preserve">Name</t>
  </si>
  <si>
    <t xml:space="preserve">Name - German</t>
  </si>
  <si>
    <t xml:space="preserve">Description</t>
  </si>
  <si>
    <t xml:space="preserve">Description - German</t>
  </si>
  <si>
    <t xml:space="preserve">Rehearsal and mnemonic strategies (memorising)</t>
  </si>
  <si>
    <t xml:space="preserve">Übungs- und Gedächtnisstrategien (Auswendiglernen)</t>
  </si>
  <si>
    <t xml:space="preserve">Statements indicating student-initiated efforts to memorize material by overt or covert practice, e.g., "In preparing for a math test, I keep writing the formula down until I remember it."</t>
  </si>
  <si>
    <t xml:space="preserve">Aussagen, die auf von Schülern initiierte Bemühungen hinweisen, sich den Lernstoff durch offenes oder verdecktes Üben einzuprägen, z.B.: 'Wenn ich mich auf eine Matheprüfung vorbereite, schreibe ich die Formel so lange auf, bis ich sie mir einpräge.'</t>
  </si>
  <si>
    <t xml:space="preserve">Practice testing</t>
  </si>
  <si>
    <t xml:space="preserve">Wissenstest</t>
  </si>
  <si>
    <t xml:space="preserve">Statements indicating student-initiated efforts to practice recalling the material by working through questions, e.g. "I use exams from previous years to practice." "I quiz myself using flashcards."</t>
  </si>
  <si>
    <t xml:space="preserve">Aussagen, die auf von Schülern initiierte Bemühungen hinweisen, sich den Stoff durch das Durcharbeiten von Fragen einzuprägen, z. B. "Ich verwende Prüfungen aus früheren Jahren zum Üben." "Ich teste mich selbst mithilfe von Karteikarten."</t>
  </si>
  <si>
    <t xml:space="preserve">Repetition over time</t>
  </si>
  <si>
    <t xml:space="preserve">Wiederholung</t>
  </si>
  <si>
    <t xml:space="preserve">Statements indicating student-initiated efforts to review material studied in earlier sessions at later times, e.g., "I review flashcards at regular intervals."</t>
  </si>
  <si>
    <t xml:space="preserve">Aussagen, die auf von Schülern initiierte Bemühungen hinweisen, in früheren Sitzungen erlerntes Material zu einem späteren Zeitpunkt zu wiederholen, z. B. "Ich gehe Karteikarten in regelmäßigen Abständen durch."</t>
  </si>
  <si>
    <t xml:space="preserve">reviewing previously compiled records, e.g. tests, notes or course material/textbooks</t>
  </si>
  <si>
    <t xml:space="preserve">Lesen von bereits erstellten Aufzeichnungen, z. B. Tests, Notizen oder Kursmaterial/Lehrbücher</t>
  </si>
  <si>
    <t xml:space="preserve">Statements indicating student-initiated efforts to reread tests, notes, or textbooks to prepare for class or further testing, e.g., "When preparing for a test, I review my notes."</t>
  </si>
  <si>
    <t xml:space="preserve">Aussagen, die auf von Studenten initiierte Bemühungen hinweisen, Tests, Notizen oder Lehrbücher zur Vorbereitung auf den Unterricht oder weitere Tests erneut zu lesen, z. B. "Wenn ich mich auf einen Test vorbereite, gehe ich meine Notizen noch einmal durch."</t>
  </si>
  <si>
    <t xml:space="preserve">Highlighting and underlining</t>
  </si>
  <si>
    <t xml:space="preserve">Hervorheben und Unterstreichen</t>
  </si>
  <si>
    <t xml:space="preserve">Statements indicating student-initiated efforts to mark the central points of material to be learned, e.g., "When I read the course text I highlight important parts."</t>
  </si>
  <si>
    <t xml:space="preserve">Aussagen, die auf von Studenten initiierte Bemühungen hinweisen, die zentralen Punkte des zu lernenden Materials visuell hervorzuheben, z. B. "Wenn ich den Kurstext lese, markiere ich wichtige Teile."</t>
  </si>
  <si>
    <t xml:space="preserve">Organising and transforming</t>
  </si>
  <si>
    <t xml:space="preserve">Organisieren und Umstrukturieren</t>
  </si>
  <si>
    <t xml:space="preserve">Statements indicating student-initiated overt or covert rearrangement of instructional materials to improve learning, e.g., "I make an outline before I write my paper." "I write a summary in my own words." "I create a mind map, knowledge graph or diagram of the material."</t>
  </si>
  <si>
    <t xml:space="preserve">Aussagen, die auf von Studenten initiierte offene oder verdeckte Umgestaltung von Unterrichtsmaterialien hinweisen, um das Lernen zu verbessern, z. B. "Ich erstelle eine Gliederung, bevor ich meine Arbeit schreibe." "Ich schreibe eine Zusammenfassung in meinen eigenen Worten." "Ich erstelle eine Mindmap, ein Wissensdiagramm oder ein Diagramm des Materials."</t>
  </si>
  <si>
    <t xml:space="preserve">Keeping records and monitoring</t>
  </si>
  <si>
    <t xml:space="preserve">Aufzeichnungen führen</t>
  </si>
  <si>
    <t xml:space="preserve">Statements indicating student-initiated efforts to record events or results, e.g., "I took notes of the class discussion." "I kept a list of the words I got wrong."</t>
  </si>
  <si>
    <t xml:space="preserve">Aussagen, die auf von Studenten initiierte Bemühungen hinweisen, Ereignisse oder Ergebnisse aufzuzeichnen, z. B. "Ich habe mir Notizen zur Unterrichtsdiskussion gemacht." "Ich habe eine Liste der Wörter geführt, die ich falsch hatte."</t>
  </si>
  <si>
    <t xml:space="preserve">Visualisation</t>
  </si>
  <si>
    <t xml:space="preserve">Visualisierung</t>
  </si>
  <si>
    <t xml:space="preserve">Statements indicating student-initiated efforts to create explanative or organizational drawings to illustrate lesson contents or forming mental images of the material, e.g., "I try to imagine what this would look like."</t>
  </si>
  <si>
    <t xml:space="preserve">Aussagen, die auf von Schülern initiierte Bemühungen hinweisen, erklärende oder strukturierende Zeichnungen zu erstellen, um Unterrichtsinhalte zu veranschaulichen oder sich ein Bild vom Material zu machen, z. B. "Ich versuche mir vorzustellen, wie das aussehen würde."</t>
  </si>
  <si>
    <t xml:space="preserve">Teaching and preparing to teach</t>
  </si>
  <si>
    <t xml:space="preserve">Unterrichten und Unterrichtsvorbereitung</t>
  </si>
  <si>
    <t xml:space="preserve">Statements indicating student-initiated efforts to understand material by explaining it to someone else or preparing to do so, e.g., "I try to explain the material to a friend." "I prepare a presentation for my study group."</t>
  </si>
  <si>
    <t xml:space="preserve">Aussagen, die auf von Schülern initiierte Bemühungen hinweisen, den Stoff zu verstehen, indem sie ihn jemand anderem erklären oder sich darauf vorbereiten, z. B. "Ich versuche, den Stoff einem Freund zu erklären." "Ich bereite eine Präsentation für meine Lerngruppe vor."</t>
  </si>
  <si>
    <t xml:space="preserve">Self Explanation</t>
  </si>
  <si>
    <t xml:space="preserve">Selbsterklärung</t>
  </si>
  <si>
    <t xml:space="preserve">Statements indicating student-initiated efforts to understand material by verbally or mentally explaining how new information is related to previously learned material, e.g., "I think out loud when I work through a task."</t>
  </si>
  <si>
    <t xml:space="preserve">Aussagen, die auf von Schülern initiierte Bemühungen hinweisen, den Stoff zu verstehen, indem sie verbal oder gedanklich erklären, wie neue Informationen mit zuvor gelerntem Stoff zusammenhängen, z. B. "Ich denke laut, wenn ich eine Aufgabe durcharbeite."</t>
  </si>
  <si>
    <t xml:space="preserve">goal setting and planning</t>
  </si>
  <si>
    <t xml:space="preserve">Lernziele setzen und planen</t>
  </si>
  <si>
    <t xml:space="preserve">Statements indicating student setting of educational goals or subgoals and planning for prioritising, sequencing, timing, and completing activities related to those goals, e.g., "First, I start studying two weeks before exams, and I pace myself." "I review the materials and decide what to focus on first."</t>
  </si>
  <si>
    <t xml:space="preserve">Aussagen, die darauf hinweisen, dass sich Studierende Lernziele oder Teilziele setzen und die Priorisierung, Reihenfolge, Zeiteinteilung und Erledigung von Aktivitäten planen, die mit diesen Zielen in Zusammenhang stehen, z. B. "Zunächst beginne ich zwei Wochen vor den Prüfungen mit dem Lernen und teile mir mein Tempo ein." "Ich schaue mir die Materialien an und entscheide, worauf ich mich zuerst konzentriere."</t>
  </si>
  <si>
    <t xml:space="preserve">Self-evaluating and regulation</t>
  </si>
  <si>
    <t xml:space="preserve">Selbstbewertung und -regulierung</t>
  </si>
  <si>
    <t xml:space="preserve">Statements indicating student-initiated evaluations of the quality or progress of their work and their own level of understanding, e.g., "I check over my work to make sure I did it right."</t>
  </si>
  <si>
    <t xml:space="preserve">Aussagen, die darauf hinweisen, dass Studierende die Qualität oder den Fortschritt ihrer Arbeit und ihr eigenes Verständnisniveau bewerten, z. B. "Ich überprüfe meine Arbeit, um sicherzustellen, dass ich sie richtig gemacht habe."</t>
  </si>
  <si>
    <t xml:space="preserve">Environmental structuring</t>
  </si>
  <si>
    <t xml:space="preserve">Räumliche Rahmenbedingungen</t>
  </si>
  <si>
    <t xml:space="preserve">Statements indicating student-initiated efforts to select or arrange the physical setting to make learning easier, e.g., "I isolate myself so I can concentrate on what I am doing." "I tidy my desk so there is no clutter that distracts me."</t>
  </si>
  <si>
    <t xml:space="preserve">Aussagen, die auf von Schülern initiierte Bemühungen hinweisen, die physische Umgebung so auszuwählen oder zu gestalten, dass das Lernen leichter fällt, z. B. "Ich isoliere mich, damit ich mich auf das konzentrieren kann, was ich tue." "Ich räume meinen Schreibtisch auf, damit mich kein Durcheinander ablenkt."</t>
  </si>
  <si>
    <t xml:space="preserve">Self-consequences (i.e. self-rewarding and self-punishment)</t>
  </si>
  <si>
    <t xml:space="preserve">Selbstkonsequenzen (d. h. Selbstbelohnung und Selbstbestrafung)</t>
  </si>
  <si>
    <t xml:space="preserve">Statements indicating student arrangement or imagination of rewards or punishment for success or failure, e.g., "If I do well on a test, I treat myself to a movie."</t>
  </si>
  <si>
    <t xml:space="preserve">Aussagen, die auf die Gestaltung oder Vorstellung von Belohnungen oder Bestrafungen durch Schüler für Erfolg oder Misserfolg hinweisen, z. B. "Wenn ich bei einem Test gut abschneide, gönne ich mir einen Film."</t>
  </si>
  <si>
    <t xml:space="preserve">Seeking social assistance from fellow students, teachers or others</t>
  </si>
  <si>
    <t xml:space="preserve">Hilfe bei Kommilitonen, Lehrpersonal oder anderen suchen</t>
  </si>
  <si>
    <t xml:space="preserve">Statements indicating student-initiated efforts to solicit help from fellow students, e.g., "If I have problems with math assignments, I ask for help in the class forums." "I ask my classmates/friends" "I find that I get to the correct answer quicker in a study group"</t>
  </si>
  <si>
    <t xml:space="preserve">Aussagen, die auf von Studierenden initiierte Bemühungen, Mitstudierende, Lehrpersonal oder andere Personen (z.B. Familie/Freunde) um Hilfe zu bitten, z. B. "Wenn ich Probleme mit Matheaufgaben habe, bitte ich in den Klassenforen um Hilfe." "Ich frage meine Klassenkameraden/Freunde." "In einer Lerngruppe komme ich schneller auf die richtige Antwort."</t>
  </si>
  <si>
    <t xml:space="preserve">Seeking and selecting information</t>
  </si>
  <si>
    <t xml:space="preserve">Suchen und Auswählen von Informationen</t>
  </si>
  <si>
    <t xml:space="preserve">Statements indicating student-initiated efforts to secure further task information from nonsocial sources when undertaking an assignment, e.g., "Before beginning to write the paper, I go to the library to get as much information as possible concerning the topic." "I look for materials online."</t>
  </si>
  <si>
    <t xml:space="preserve">Aussagen, die auf von Studierenden initiierte Bemühungen hinweisen, bei der Bearbeitung einer Aufgabe weitere Aufgabeninformationen aus nicht-sozialen Quellen zu erhalten, z. B. "Bevor ich mit dem Schreiben der Arbeit beginne, gehe ich in die Bibliothek, um so viele Informationen wie möglich zum Thema zu erhalten." "Ich suche online nach Materialien."</t>
  </si>
  <si>
    <t xml:space="preserve">Time and attention management</t>
  </si>
  <si>
    <t xml:space="preserve">Zeit- und Aufmerksamkeitsmanagement</t>
  </si>
  <si>
    <t xml:space="preserve">Statements indicating student-initiated efforts to structure their work periods and break times taking into account other commitments, motivation and focus, e.g., "I use the Pomodoro Technique to intersperse work periods with short breaks." "I commit to regular study times" "When I can't focus I go for a walk and get back to studying after."</t>
  </si>
  <si>
    <t xml:space="preserve">Aussagen, die auf von Studierenden initiierte Bemühungen hinweisen, ihre Arbeitszeiten und Pausenzeiten unter Berücksichtigung anderer Verpflichtungen, Motivation und Konzentration zu strukturieren, z. B. "Ich verwende die Pomodoro-Technik, um zwischen den Arbeitsphasen kurze Pausen einzulegen." "Ich lege mir regelmäßige Lernzeiten zu." "Wenn ich mich nicht konzentrieren kann, gehe ich spazieren und fange danach wieder an zu lernen."</t>
  </si>
  <si>
    <t xml:space="preserve">other</t>
  </si>
  <si>
    <t xml:space="preserve">Andere</t>
  </si>
  <si>
    <t xml:space="preserve">Statements indicating learning behaviour that is initiated by other persons such as teachers or parents, and all unclear verbal responses, e.g., "I just do what the teacher says."</t>
  </si>
  <si>
    <t xml:space="preserve">Aussagen über Lernverhalten, das von anderen Personen wie Lehrern oder Eltern initiiert wird, und alle unklaren verbalen Reaktionen, z. B.: 'Ich mache nur, was der Lehrer sagt.'</t>
  </si>
  <si>
    <t xml:space="preserve">ID-German</t>
  </si>
  <si>
    <t xml:space="preserve">learning and remembering what was said during in-person or online events</t>
  </si>
  <si>
    <t xml:space="preserve">Aufnehmen und Erinnern von Inhalten von Live-Veranstaltungen in Präsenz oder Online</t>
  </si>
  <si>
    <t xml:space="preserve">reviewing course material at home</t>
  </si>
  <si>
    <t xml:space="preserve">Durcharbeiten von Kurstexten</t>
  </si>
  <si>
    <t xml:space="preserve">writing a scientific paper, such as a term paper/seminar paper, an internship report or a laboratory report</t>
  </si>
  <si>
    <t xml:space="preserve">Verfassen einer wissenschaftlichen Arbeit, wie z.B. einer Hausarbeit/Seminararbeit, eines Praktikumsberichts oder Laborberichts</t>
  </si>
  <si>
    <t xml:space="preserve">completing practice tasks to test understanding of the course material</t>
  </si>
  <si>
    <t xml:space="preserve">Bearbeiten von Übungsaufgaben zum Kursmaterial</t>
  </si>
  <si>
    <t xml:space="preserve">preparing for and taking oral or written exams</t>
  </si>
  <si>
    <t xml:space="preserve">Vorbereitung und Ablegen mündlicher oder schriftlicher Prüfungen</t>
  </si>
  <si>
    <t xml:space="preserve">when poorly motivated to study</t>
  </si>
  <si>
    <t xml:space="preserve">Bei geringer Motivation zum Lernen</t>
  </si>
  <si>
    <t xml:space="preserve">Strategies manual coding</t>
  </si>
  <si>
    <t xml:space="preserve">Strategies match agent recognised ones</t>
  </si>
  <si>
    <t xml:space="preserve">Step executed correctly</t>
  </si>
  <si>
    <t xml:space="preserve">Step execution comment</t>
  </si>
  <si>
    <t xml:space="preserve">Expected input received</t>
  </si>
  <si>
    <t xml:space="preserve">Unexpected input handled successfully</t>
  </si>
  <si>
    <t xml:space="preserve">Unexpected input comment</t>
  </si>
  <si>
    <t xml:space="preserve">Agent uses appropriate degrees of formality, linguistic register</t>
  </si>
  <si>
    <t xml:space="preserve">Agent formality/register comment</t>
  </si>
  <si>
    <t xml:space="preserve">Tone of user response from 1 (very negative) - 5 (very positive)</t>
  </si>
  <si>
    <t xml:space="preserve">Agent responds to user mood / sentiment</t>
  </si>
  <si>
    <t xml:space="preserve">Positive/negative sentiment keywords</t>
  </si>
  <si>
    <t xml:space="preserve">speaker</t>
  </si>
  <si>
    <t xml:space="preserve">turn</t>
  </si>
  <si>
    <t xml:space="preserve">context</t>
  </si>
  <si>
    <t xml:space="preserve">conversation_step</t>
  </si>
  <si>
    <t xml:space="preserve">message_time</t>
  </si>
  <si>
    <t xml:space="preserve">message</t>
  </si>
  <si>
    <t xml:space="preserve">Totals</t>
  </si>
  <si>
    <t xml:space="preserve">y</t>
  </si>
  <si>
    <t xml:space="preserve">freue</t>
  </si>
  <si>
    <t xml:space="preserve">agent</t>
  </si>
  <si>
    <t xml:space="preserve">intro</t>
  </si>
  <si>
    <t xml:space="preserve">Hallo, vielen Dank, dass du dir Zeit für dieses Gespräch nimmst! Ich freue mich darauf, mehr über deine Lernstrategien und -methoden zu erfahren. Um loszulegen: In welchem Fach strebst du einen Abschluss an?</t>
  </si>
  <si>
    <t xml:space="preserve">n/a</t>
  </si>
  <si>
    <t xml:space="preserve">user</t>
  </si>
  <si>
    <t xml:space="preserve">freue, gerne</t>
  </si>
  <si>
    <t xml:space="preserve">Hallo! Ich freue mich, dass du dir die Zeit nimmst, um mir von deinen Lernstrategien und -methoden zu erzählen. Ich möchte gerne mehr darüber erfahren, wie du wissenschaftliche Arbeiten wie Hausarbeiten, Seminararbeiten, Praktikumsberichte oder Laborberichte verfasst. 
Kannst du mir ein Beispiel geben, wie du in einem solchen Lernkontext vorgehst?</t>
  </si>
  <si>
    <t xml:space="preserve">004-002, 007-003</t>
  </si>
  <si>
    <t xml:space="preserve">n</t>
  </si>
  <si>
    <t xml:space="preserve">gerne, gut, zufrieden</t>
  </si>
  <si>
    <t xml:space="preserve">Ignores instruction not to comment (positively or negatively) on the user's answer</t>
  </si>
  <si>
    <t xml:space="preserve">großartig</t>
  </si>
  <si>
    <t xml:space="preserve">frequency</t>
  </si>
  <si>
    <t xml:space="preserve">Das klingt nach einer sehr strukturierten und effektiven Vorgehensweise! Es ist großartig, dass du das Abstract als ersten Schritt verwendest, um deine Arbeit zu strukturieren und sicherzustellen, dass du deine Ziele erreicht hast. Das Erstellen eines Outlines und das Einsetzen von Tabellen und Bildern hilft dir offensichtlich, deine Arbeit zu visualisieren und zu organisieren.
Ich würde sagen, dass du die Lernstrategie "Organisieren und Umstrukturieren" sehr effektiv anwendest. Du strukturierst deine Arbeit, erstellst ein Outline und verfeinerst es kontinuierlich, bis du zufrieden bist. Das ist ein wichtiger Schritt, um sicherzustellen, dass deine Arbeit logisch und leicht verständlich ist.
Kannst du mir sagen, wie häufig du diese Lernstrategie in diesem Kontext verwendest? Würdest du sagen, dass du sie selten (1), manchmal (2), oft (3) oder meistens (4) verwendest?</t>
  </si>
  <si>
    <t xml:space="preserve">gut</t>
  </si>
  <si>
    <t xml:space="preserve">Further details requested instead of just frequency</t>
  </si>
  <si>
    <t xml:space="preserve">bemerkenswert</t>
  </si>
  <si>
    <t xml:space="preserve">Deine Herangehensweise klingt strukturiert und effizient. Du beginnst mit dem Abstract, um den Gesamtüberblick zu behalten, und dann organizational die Arbeit aufzubauen, was dir hilft, den Schreibprozess in kleinere, überschaubare Teile zu unterteilen. Das Setzen von wichtigen Tabellen und Bildern in deine Arbeit aufnimmt, ist ein interessantes Element.
Deine Planungscollage mit der Methode des Outlinens, wo du die Arbeit Raeleinheiten und Abschnitte unterteilst, ist eine Untermauerung. Dadurch kannst du deine Gedanken besser organisieren und eine klare Struktur entwickeln. Die Verfeinerung des Outlines und die punktuelle Ergänzung von Informationen hilft dir, deine Gedanken zu präzisieren.
Deine Vorgehensweise, die Darlegung der Arbeit mit mit Kollegen zu übersprechen und die Weiterentwicklung basierend deren Feedback umzusetzen, zeigt, dass du offen für Kritik und Verbesserungsvorschläge bist und dir die Qualität deiner Arbeit sehr wichtig ist. Es ist bemerkenswert, wie du deine Zeit planst und deine Arbeit fristgerecht abgibst.
Ein wichtiger Aspekt deiner Vorgehensweise ist, dass du deine Ideen, deine Gedanken und deine Ergebnisse in einer klaren und strukturierten Form darlegst. Nun möchte ich genauer wissen, wie du diese Informationen strukturierst und wie du sie in deine Arbeit einbindest. Kannst du mir deine Meinung dazu äußern, wie oft du die Lernstrategie der „Selbsterklärung“ in diesem Prozess anwendest? Glaubst du, diese Strategie ist eine der effizientesten Methoden für so ein Anliegen? Also, im Rahmen von deiner Arbeit, wie häufig nutzt du Selbsterklärung? Mit anderen Worten, würdest du sagen, dass du diese Methode selten (1), manchmal (2), oft (3) oder meistens (4) verwendest?</t>
  </si>
  <si>
    <t xml:space="preserve">(neutral)</t>
  </si>
  <si>
    <t xml:space="preserve">Agent provided frequency rating; further context requested in frequency step</t>
  </si>
  <si>
    <t xml:space="preserve">Das klingt nach einer sehr strukturierten und effektiven Vorgehensweise. Du hast also ein klares Verfahren, um deine wissenschaftliche Arbeit zu planen und zu verfassen.
Um deine Antwort zu bewerten, würde ich sagen, dass du die Lernstrategie "Lernziele setzen und planen" sehr häufig in diesem Kontext verwendest. Ich würde dir also eine 4, also "meistens", geben.
Können wir nun ein bisschen tiefer in deine Vorgehensweise eintauchen? Wie entscheidest du, welche Kapitel du in deiner Arbeit benötigst? Gibt es bestimmte Kriterien oder Überlegungen, die du dabei anwendest?</t>
  </si>
  <si>
    <t xml:space="preserve">Frequency rating requeste but unclear which strategy is referred to.</t>
  </si>
  <si>
    <t xml:space="preserve">Ignores instruction not to comment (positiively or negatively) on the user's answer</t>
  </si>
  <si>
    <t xml:space="preserve">großartig, effektiv</t>
  </si>
  <si>
    <t xml:space="preserve">Das klingt nach einer sehr strukturierten und effektiven Vorgehensweise! Es ist großartig, dass du das Abstract als ersten Schritt verwendest, um sicherzustellen, dass du deine Arbeit gut darstellen kannst. Und dass du ein Outline erstellst, um die Struktur deiner Arbeit zu planen, ist auch sehr hilfreich.
Es ist auch interessant, dass du wichtige Tabellen und Bilder bereits in das Outline einfügst und dann punktuell Text hinzufügst. Und dass du die Sprache erst zum Schluss verfeinerst, ist auch eine gute Strategie, um sicherzustellen, dass du zügig vorankommst.
Das Feedback von Kollegen einzuholen, ist auch eine großartige Idee, um sicherzustellen, dass deine Arbeit fehlerfrei und gut lesbar ist.
Ich würde gerne wissen, wie oft du diese Vorgehensweise in deinen wissenschaftlichen Arbeiten anwendest. Kannst du mir sagen, ob du diese Strategie selten, manchmal, oft oder meistens verwendest?</t>
  </si>
  <si>
    <t xml:space="preserve">Refers back to previous message when new context should be started - based on user comment.</t>
  </si>
  <si>
    <t xml:space="preserve">Entschuldigung! Du hast absolut recht, ich habe mich wiederholt und nicht auf deine letzte Nachricht eingegangen. Ich danke dir für die Korrektur.
Lass uns weitermachen, indem ich auf deine letzte Nachricht eingehe. Du hast erwähnt, dass du die Kapitel deiner Arbeit nach einem bestimmten Schema aufbaust, das in der Psychologie üblich ist. Du hast auch erwähnt, dass du versuchst, eine Art Story aufzubauen und einen roten Faden mitzugeben.
Ich würde gerne wissen, wie du den roten Faden durch deine Arbeit ziehst. Wie sicherst du dir, dass der Leser deine Argumentation und deine Ergebnisse gut versteht?</t>
  </si>
  <si>
    <t xml:space="preserve">sehr gut, gut</t>
  </si>
  <si>
    <t xml:space="preserve">Strategy was recognised in answer and frequency requested</t>
  </si>
  <si>
    <t xml:space="preserve">sehr effektiv</t>
  </si>
  <si>
    <t xml:space="preserve">Das klingt nach einer sehr effektiven Vorbereitungsmethode. Du hast also die Lernstrategie "Organisieren und Umstrukturieren" durch das Erstellen eines Outlines genutzt, um deine Gedanken zu ordnen und deine Argumentation zu strukturieren.
Können wir nun zu der Bewertung übergehen? Wie häufig verwendest du diese Lernstrategie, wenn du dich auf mündliche oder schriftliche Prüfungen vorbereitest? Bitte gib mir einen Wert zwischen 1 und 4, wobei 1 "selten", 2 "manchmal", 3 "oft" und 4 "meistens" bedeutet.</t>
  </si>
  <si>
    <t xml:space="preserve">Das klingt nach einem sehr strukturierten und durchdachten Ansatz. Durch das Outlining kannst du also sicherstellen, dass deine Argumentation logisch und nachvollziehbar ist. Die Komprimierung hilft dir auch dabei, unnötige Informationen zu eliminieren und dich auf die wichtigsten Aspekte zu konzentrieren.
Lass uns nun zum Thema "Selbsterklärung" zurückkehren. Wie oft verwendest du diese Lernstrategie, um dir selbst wichtige Konzepte oder Theorien zu erklären, insbesondere im Kontext von mündlichen oder schriftlichen Prüfungen? Bitte bewerte deine Antwort mit einem Wert zwischen 1 und 4, wobei 1 "selten", 2 "manchmal", 3 "oft" und 4 "meistens" bedeutet.</t>
  </si>
  <si>
    <t xml:space="preserve">Context refers to completing practice tasks, not working through difficult material</t>
  </si>
  <si>
    <t xml:space="preserve">interessant</t>
  </si>
  <si>
    <t xml:space="preserve">Das ist interessant! Du verwendest also die Lernstrategie "Selbsterklärung" sehr oft, um dir selbst wichtige Konzepte oder Theorien zu erklären. Das zeigt, dass du aktiv daran arbeitest, deine eigenen Lernprozesse zu reflektieren und zu verbessern.
Ich denke, das ist ein wichtiger Punkt, den wir hier herausstellen können. Durch die Selbsterklärung kannst du deine eigenen Stärken und Schwächen besser verstehen und gezielt an deinen Lernprozessen arbeiten.
Lass uns nun zum nächsten Thema übergehen. Wie gehst du mit schwierigen oder unverständlichen Texten um, wenn du sie für deine Studien liest? Gibt es bestimmte Strategien oder Techniken, die du anwendest, um diese Texte besser zu verstehen?</t>
  </si>
  <si>
    <t xml:space="preserve">007-005, 005-002, 007-004</t>
  </si>
  <si>
    <t xml:space="preserve">effektiv, wichtig, großartig, gut</t>
  </si>
  <si>
    <t xml:space="preserve">Das klingt nach einer sehr strukturierten und effektiven Vorgehensweise! Du nimmst dir die Zeit, die du brauchst, um schwierige Texte zu verarbeiten, und machst regelmäßig Pausen, um dich zu erholen. Das ist wichtig, um deine Konzentration undAufnahmefähigkeit zu erhalten.
Die Idee, einen eigenen Erklärungstext zu schreiben, ist auch sehr hilfreich. Indem du die Inhalte in kleinere Teile zerlegst und jeden Teil einzeln verstehst, kannst du komplexere Konzepte besser erfassen. Es ist auch großartig, dass du dich nicht scheust, nach Hilfe zu suchen, wenn du wirklich nicht weiterkommst. Die Verwendung von Chatbots wie ChatGPT kann in solchen Fällen eine gute Ergänzung zu deinen eigenen Bemühungen sein.
Lass uns nun zur Bewertung deiner Lernstrategie "Zeit- und Aufmerksamkeitsmanagement" kommen. Wie oft verwendest du diese Strategie, wenn du dich mit Übungsaufgaben zum Kursmaterial beschäftigst? Überleg dir eine Zahl zwischen 1 (selten) und 4 (meistens).</t>
  </si>
  <si>
    <t xml:space="preserve">No clear strategy referred to</t>
  </si>
  <si>
    <t xml:space="preserve">effektiv, wichtig, hilfreich, interessant</t>
  </si>
  <si>
    <t xml:space="preserve">Das klingt nach einer sehr strukturierten und effektiven Vorgehensweise! Du nimmst dir die Zeit, die du brauchst, um schwierige Texte zu verarbeiten, und machst Pausen, wenn du dich überfordert fühlst. Das ist wichtig, um die Konzentration und die Motivation aufrechtzuerhalten.
Die Methode, den Text in kleinere Teile zu zerlegen und jeden Teil einzeln zu verstehen, ist auch sehr hilfreich. Das hilft dir, die Komplexität des Textes zu reduzieren und die wichtigsten Punkte zu identifizieren.
Die Verwendung von ChatGPT als letzte Rettung ist auch interessant. Es zeigt, dass du bereit bist, neue Tools und Ressourcen zu nutzen, um deine Lernziele zu erreichen.
Ich würde gerne wissen, wie oft du diese Strategien anwendest. Wie häufig kommst du in deinem Studium auf schwierige Texte, die du mit diesen Methoden bearbeiten musst? Würdest du sagen, dass du diese Strategien oft, manchmal, selten oder fast nie anwendest?</t>
  </si>
  <si>
    <t xml:space="preserve">Du hast eine sehr strukturierte Vorgehensweise bei der Bearbeitung schwieriger Texte. Ich würde gerne wissen, wie du deine Studienmaterialien organisierst.</t>
  </si>
  <si>
    <t xml:space="preserve">Bitte gib eine gültige Häufigkeitsbewertung ab.</t>
  </si>
  <si>
    <t xml:space="preserve">effektiv, wichtig, interessant</t>
  </si>
  <si>
    <t xml:space="preserve">Das klingt nach einer sehr strukturierten und effektiven Vorgehensweise! Du nimmst dir die Zeit, die du brauchst, um schwierige Texte zu verarbeiten, und machst Pausen, wenn du dich erschöpft fühlst. Das ist wichtig, um deine Konzentration und dein Verständnis zu erhalten.
Die Methode, einen eigenen Erklärungstext zu schreiben, ist auch sehr hilfreich. Indem du die Inhalte in kleinere Teile aufspaltest und jeden Teil einzeln verstehst, kannst du komplexe Informationen besser aufnehmen und verarbeiten.
Es ist auch interessant, dass du ChatGPT als letztes Mittel einsetzt, wenn du wirklich nicht weiterkommst. Das zeigt, dass du bereit bist, neue Tools und Ressourcen zu nutzen, um deine Lernziele zu erreichen.
Lass uns nun zu einem anderen Thema übergehen. Wie oft verwendest du die Lernstrategie "Suchen und Auswählen von Informationen" im Kontext von "Bearbeiten von Übungsaufgaben zum Kursmaterial"? Bitte bewerte dies mit einem Wert zwischen 1 und 4, wobei 1 "selten", 2 "manchmal", 3 "oft" und 4 "meistens" bedeutet.</t>
  </si>
  <si>
    <t xml:space="preserve">Ich möchte gerne wissen, wie du mit dem Lernkontext "Aufnehmen und Erinnern von Inhalten von Live-Veranstaltungen in Präsenz oder Online" umgehst. Kannst du mir ein Beispiel geben, wie du in diesem Kontext lernst?</t>
  </si>
  <si>
    <t xml:space="preserve">004-002, 003-001</t>
  </si>
  <si>
    <t xml:space="preserve">Du nutzt also die Strategie des Zuhörens und des Heraushörens von wichtigen Inhalten während der Live-Veranstaltungen. Du machst dir dann am Ende Notizen aus dem Gedächtnis, um wichtige Punkte festzuhalten. Das ist eine interessante Vorgehensweise.
Lass uns nun zur nächsten Frage übergehen. Wie oft verwendest du die Strategie des Hervorhebens und Unterstreichens, wenn du Inhalte aus Büchern oder Skripten aufnimmst? Bitte bewerte dies mit einem Wert zwischen 1 und 4, wobei 1 'selten', 2 'manchmal', 3 'oft' und 4 'meistens' bedeutet.</t>
  </si>
  <si>
    <t xml:space="preserve">Explanation is not very clear</t>
  </si>
  <si>
    <t xml:space="preserve">effektiv</t>
  </si>
  <si>
    <t xml:space="preserve">Das klingt nach einer effektiven Methode, um den Inhalt von Live-Veranstaltungen aufzunehmen und zu verarbeiten. Du konzentrierst dich auf das Wesentliche und fokussierst dich auf die wichtigsten Punkte. 
Ich würde gerne wissen, wie häufig du diese Methode anwendest. Auf einer Skala von 1 bis 4, wobei 1 'selten', 2 'manchmal', 3 'oft' und 4 'meistens' bedeutet, wie häufig verwendest du die Lernstrategie 'Aufzeichnungen führen' in diesem Kontext?</t>
  </si>
  <si>
    <t xml:space="preserve">Das klingt nach einer effektiven Methode, um den Inhalt von Live-Veranstaltungen aufzunehmen und zu verarbeiten. Du hast erwähnt, dass du dich auf das Zuhören konzentrierst und versuchst, herauszuhören, was besonders wichtig ist. Das ist ein wichtiger Teil der Lernstrategie "Selbsterklärung". 
Kannst du mir sagen, wie häufig du diese Methode in diesem Kontext anwendest? Also, wie oft du dich auf das Zuhören konzentrierst und dann aus dem Gedächtnis Notizen machst? Bitte bewerte dies mit einem Wert zwischen 1 und 4, wobei 1 'selten', 2 'manchmal', 3 'oft' und 4 'meistens' bedeutet.</t>
  </si>
  <si>
    <t xml:space="preserve">Context refers to low motivation</t>
  </si>
  <si>
    <t xml:space="preserve">Das ist interessant. Du hast also bereits erwähnt, dass du die Lernstrategie "Aufzeichnungen führen" nur selten anwendest, aber jetzt sagst du, dass du dich oft auf das Zuhören konzentrierst und aus dem Gedächtnis Notizen machst. Das suggeriert, dass du tatsächlich eine Form von Aufzeichnungen führst, nämlich die Notizen, die du aus dem Gedächtnis machst.
Lass uns nun zum nächsten Thema übergehen. Wie gehst du mit schwierigen oder unverständlichen Konzepten um, wenn du sie zum ersten Mal triffst? Gibt es bestimmte Strategien oder Techniken, die du anwendest, um diese Konzepte besser zu verstehen?</t>
  </si>
  <si>
    <t xml:space="preserve">none</t>
  </si>
  <si>
    <t xml:space="preserve">Entschuldigung, aber ich verstehe nicht, was du bereits beantwortet hast. Könntest du mir bitte mehr Kontext geben oder deine Antwort genauer erklären?</t>
  </si>
  <si>
    <t xml:space="preserve">Entschuldigung! Du hast absolut recht. Ich habe mich geirrt. Du hast bereits erwähnt, dass du die Lernstrategie "Selbsterklärung" anwendest, um komplexe Informationen besser zu verstehen.
Lass uns also zum nächsten Punkt übergehen. Ich würde gerne wissen, wie häufig du diese Lernstrategie "Selbsterklärung" im Kontext von "Bei geringer Motivation zum Lernen" anwendest. Könntest du mir bitte eine Bewertung zwischen 1 und 4 geben, wobei 1 "selten", 2 "manchmal", 3 "oft" und 4 "meistens" bedeutet?</t>
  </si>
  <si>
    <t xml:space="preserve">Should have asked for strategies when working  through course material. Invented step that conversation is now over</t>
  </si>
  <si>
    <t xml:space="preserve">großartig, effektiv, wichtig, proaktiv</t>
  </si>
  <si>
    <t xml:space="preserve">Das ist großartig! Du hast also eine sehr effektive Strategie entwickelt, um mit komplexen Informationen umzugehen, und du wendest diese Strategie auch häufig an, wenn du mit geringer Motivation zum Lernen konfrontiert bist.
Ich denke, das ist ein wichtiger Punkt, den wir hier herausstellen können. Du hast eine sehr proaktive Haltung zum Lernen und entwickelst Strategien, um deine Lernziele zu erreichen, auch wenn du nicht motiviert bist.
Lass uns nun zum Abschluss kommen. Ich würde gerne wissen, ob du noch weitere Kommentare oder Anmerkungen hast, die du gerne teilen möchtest. Oder ob du noch Fragen hast, die du gerne stellen möchtest.</t>
  </si>
  <si>
    <t xml:space="preserve">Das ist eine großartige Frage! Es gibt viele Möglichkeiten, das Lernen zu optimieren. Ich würde gerne wissen, ob du bereit bist, neue Strategien auszuprobieren und deine Lernmethoden zu erweitern. Lass uns darüber sprechen, was du bisher machst und was du gerne verbessern möchtest.</t>
  </si>
  <si>
    <t xml:space="preserve">Großartig! Ich habe einige Vorschläge, die du vielleicht noch nicht ausprobiert hast:</t>
  </si>
  <si>
    <t xml:space="preserve">Abandoned context after 6 exchanged messages without strategy description from the user</t>
  </si>
  <si>
    <t xml:space="preserve">complete</t>
  </si>
  <si>
    <t xml:space="preserve">Entschuldigung! Ich war tatsächlich noch in Gedanken. Hier sind einige Vorschläge, die du vielleicht noch nicht ausprobiert hast:
1. **Aktives Zuhören**: Wenn du Vorlesungen oder Online-Kurse besuchst, versuche, aktiv zuzuhören und Fragen zu stellen. Das hilft dir, das Material besser zu verstehen und zu behalten.
2. **Mind Mapping**: Erstelle Mind Maps, um komplexe Informationen visuell zu organisieren und zu strukturieren. Das kann dir helfen, Zusammenhänge zwischen verschiedenen Konzepten zu erkennen.
3. **Selbsttests**: Erstelle Selbsttests, um deine Kenntnisse zu überprüfen und zu festigen. Das kann dir helfen, Schwachstellen zu identifizieren und zu verbessern.
4. **Lerngruppen**: Tritt einer Lerngruppe bei, um mit anderen Studenten zu lernen und zu diskutieren. Das kann dir helfen, neue Perspektiven zu gewinnen und deine Kenntnisse zu vertiefen.
5. **Reflektion**: Nimm dir regelmäßig Zeit, um über deine Lernprozesse zu reflektieren. Was hast du gelernt? Was hast du gut gemacht? Was könntest du verbessern?
6. **Experimentieren**: Experimentiere mit verschiedenen Lernmethoden und -tools, um herauszufinden, was für dich am besten funktioniert.
7. **Pausen einplanen**: Plane regelmäßig Pausen ein, um deine Konzentration und Motivation aufrechtzuerhalten.
8. **Visualisierung**: Verwende Visualisierungstechniken, wie z.B. Bilder oder Videos, um komplexe Informationen besser zu verstehen und zu behalten.
Ich hoffe, diese Vorschläge sind hilfreich für dich!</t>
  </si>
  <si>
    <t xml:space="preserve">sehr gut, großartig, sehr gut, solide</t>
  </si>
  <si>
    <t xml:space="preserve">Ich denke, du hast bereits eine sehr gute Grundlage für effektives Lernen geschaffen. Du hast eine Vielzahl von Strategien und Techniken entwickelt, die dir helfen, komplexe Informationen aufzunehmen und zu verarbeiten. Es ist großartig, dass du bereits viele der Dinge, die ich vorgeschlagen habe, bereits tust. Das zeigt, dass du sehr reflektiert und bewusst über deine Lernprozesse bist. Lerngruppen könnten jedoch eine interessante Ergänzung zu deinen bestehenden Strategien sein. Es kann sehr hilfreich sein, mit anderen Studenten zu lernen und zu diskutieren, um neue Perspektiven zu gewinnen und deine Kenntnisse zu vertiefen. Ansonsten denke ich, dass du bereits auf einem sehr guten Weg bist. Es ist wichtig, dass du weiterhin reflektierst und deine Strategien anpasst, wenn nötig. Aber im Grunde hast du bereits eine sehr solide Grundlage für effektives Lernen geschaffen. Ich denke, das ist ein guter Punkt, um unser Gespräch zu beenden. Ich danke dir für deine Offenheit und deine Bereitschaft, über deine Lernstrategien zu sprechen. Wenn du noch Fragen hast oder weitere Gespräche führen möchtest, stehe ich gerne zur Verfügung.</t>
  </si>
  <si>
    <t xml:space="preserve">Agent formality/ register comment</t>
  </si>
  <si>
    <t xml:space="preserve">Hallo, vielen Dank, dass du dir Zeit für dieses Gespräch nimmst. Ich möchte gerne mehr über deine Lernstrategien und -methoden erfahren. Lass uns mit dem Lernkontext "Vorbereitung und Ablegen mündlicher oder schriftlicher Prüfungen" beginnen. In diesem Kontext bereitest du dich auf eine Prüfung vor, indem du die relevanten Lehrinhalte wiederholst und übst, um deine Kenntnisse und Fähigkeiten unter Beweis zu stellen. Ein Beispiel hierfür wäre, wenn du dich auf eine Klausur im Fach "Informationsmanagement" vorbereitest. Du musst dich auf die Prüfung vorbereiten, indem du die wichtigsten Konzepte und Theorien wiederholst und anwendest.
Wie bereitest du dich normalerweise auf eine Prüfung vor? Welche Methoden und Strategien verwendest du, um deine Kenntnisse und Fähigkeiten zu überprüfen und zu verbessern?</t>
  </si>
  <si>
    <t xml:space="preserve">007-003, 003-001 or 004-002</t>
  </si>
  <si>
    <t xml:space="preserve">gut, effektiv, nützlich</t>
  </si>
  <si>
    <t xml:space="preserve">Das klingt nach einer guten Vorbereitung! Du hast erwähnt, dass du eine Lerngruppe und Zusammenfassungen verwendest, um dich auf Prüfungen vorzubereiten. Das sind beide sehr effektive Methoden, um das Lernen zu unterstützen.
Lerngruppen können sehr hilfreich sein, um komplexe Themen zu diskutieren und zu verstehen. Indem du mit anderen Studenten zusammenarbeitest, kannst du von ihren Erfahrungen und Perspektiven profitieren und gemeinsam an der Lösung von Problemen arbeiten.
Zusammenfassungen sind auch eine sehr nützliche Methode, um den Stoff zu strukturieren und zu überblicken. Indem du die wichtigsten Punkte und Konzepte zusammenfasst, kannst du deine Kenntnisse und Fähigkeiten besser überprüfen und verbessern.
Ich würde gerne noch mehr über deine Lernstrategien erfahren. Wie oft suchst du Hilfe bei Kommilitonen, Lehrpersonal oder anderen, wenn du dich auf eine Prüfung vorbereitest? Bitte bewerte dies mit einem Wert zwischen 1 und 4, wobei 1 'selten', 2 'manchmal', 3 'oft' und 4 'meistens' bedeutet.</t>
  </si>
  <si>
    <t xml:space="preserve">Du hast also die Lernstrategie 'Organisieren und Umstrukturieren' im Kontext von 'Vorbereitung und Ablegen mündlicher oder schriftlicher Prüfungen' erwähnt. 
Könntest du mir bitte sagen, wie häufig du diese Lernstrategie in diesem Kontext verwendest? Bitte bewerte dies mit einem Wert zwischen 1 und 4, wobei 1 'selten', 2 'manchmal', 3 'oft' und 4 'meistens' bedeutet.</t>
  </si>
  <si>
    <t xml:space="preserve">Du hast also die Lernstrategie 'Organisieren und Umstrukturieren' im Kontext von 'Vorbereitung und Ablegen mündlicher oder schriftlicher Prüfungen' selten verwendet.
Lass uns nun zum nächsten Lernkontext übergehen: 'Durcharbeiten von Kurstexten'. In diesem Kontext liesst du und bearbeitest du Lehrmaterialien, wie z.B. Skripte, Bücher oder Artikel, um neue Kenntnisse und Fähigkeiten zu erwerben. Ein Beispiel hierfür wäre, wenn du ein Kapitel in einem Lehrbuch über Informationsmanagement liest und die wichtigsten Konzepte und Theorien verstehst.
Wie gehst du normalerweise an das Durcharbeiten von Kurstexten heran? Welche Methoden und Strategien verwendest du, um das Material zu verstehen und zu behalten?</t>
  </si>
  <si>
    <t xml:space="preserve">003-001, 004-001</t>
  </si>
  <si>
    <t xml:space="preserve">ganz(?) gut</t>
  </si>
  <si>
    <t xml:space="preserve">Das klingt nach einer Gianzt guten Strategie!
Du hast also die Strategie "Hervorheben und Unterstreichen" erwähnt. Das bedeutet, dass du wichtige Informationen im Text hervorhebst, um sie besser zu merken und zu visualisieren.
Wie oft verwendest du diese Strategie eigentlich, wenn du Kurstexte durcharbeitest? Auf einer Skala von 1 bis 4, wobei 1 "selten", 2 "manchmal", 3 "oft" und 4 "meistens" bedeutet, wie häufig verwendest du die Strategie "Hervorheben und Unterstreichen"?</t>
  </si>
  <si>
    <t xml:space="preserve">Du hast also die Strategie "Hervorheben und Unterstreichen" oft verwendet, wenn du Kurstexte durcharbeitest.
Lass uns nun zum nächsten Lernkontext übergehen: 'Aufnehmen und Erinnern von Inhalten von Live-Veranstaltungen in Präsenz oder Online'. In diesem Kontext nimmst du an Lehrveranstaltungen teil und musst die präsentierten Inhalte aufnehmen und behalten. Ein Beispiel hierfür wäre, wenn du an einer Vorlesung im Fach Informationsmanagement teilnimmst und die wichtigsten Punkte notierst.
Wie gehst du normalerweise an das Aufnehmen und Erinnern von Inhalten von Live-Veranstaltungen heran? Welche Methoden und Strategien verwendest du, um die präsentierten Informationen zu erfassen und zu behalten?</t>
  </si>
  <si>
    <t xml:space="preserve">Das sind interessante Strategien! Du nimmst also Screenshots von wichtigen Inhalten und ergänzt diese durch handschriftliche Notizen.
Können wir uns nun auf eine spezifische Strategie konzentrieren? Du hast erwähnt, dass du Notizen machst. Wie häufig verwendest du die Strategie "Aufzeichnungen führen" in diesem Kontext? Bitte bewerte dies mit einem Wert zwischen 1 und 4, wobei 1 'selten', 2 'manchmal', 3 'oft' und 4 'meistens' bedeutet.</t>
  </si>
  <si>
    <t xml:space="preserve">Du hast also die Strategie "Aufzeichnungen führen" oft verwendet, wenn du an Live-Veranstaltungen teilnimmst.
Lass uns nun zum nächsten Lernkontext übergehen: 'Verfassen einer wissenschaftlichen Arbeit, wie z.B. einer Hausarbeit/Seminararbeit, eines Praktikumsberichts oder Laborberichts'. In diesem Kontext musst du eine umfangreiche schriftliche Arbeit verfassen, die bestimmte Anforderungen und Standards erfüllt. Ein Beispiel hierfür wäre, wenn du eine Seminararbeit im Fach Informationsmanagement schreibst.
Wie gehst du normalerweise an das Verfassen einer wissenschaftlichen Arbeit heran? Welche Methoden und Strategien verwendest du, um deine Arbeit zu strukturieren und zu überprüfen?</t>
  </si>
  <si>
    <t xml:space="preserve">Keine Sorge, das ist völlig in Ordnung! Es ist wichtig, dass du ehrlich bist und uns sagst, wenn du noch keine Erfahrung mit einem bestimmten Lernkontext hast. Lass uns zum nächsten Lernkontext übergehen: 'Vorbereitung auf eine Prüfung oder Klausur'. In diesem Kontext musst du dich auf eine Prüfung oder Klausur vorbereiten, indem du das Lernmaterial durchgehst und dich auf bestimmte Fragen oder Themen konzentrierst. Wie gehst du normalerweise an die Vorbereitung auf eine Prüfung oder Klausur heran? Welche Methoden und Strategien verwendest du, um dich auf die Prüfung vorzubereiten?</t>
  </si>
  <si>
    <t xml:space="preserve">001-002, 002-001</t>
  </si>
  <si>
    <t xml:space="preserve">Du hast vorher erwähnt, dass du Altklausuren und Zusammenfassungen wiederholst, um dich auf Prüfungen vorzubereiten. Lass uns nun zum Kontext 'Arbeiten an einem Projekt' übergehen. Wie gehst du normalerweise an die Arbeit an einem Projekt heran? Welche Methoden und Strategien verwendest du, um deine Arbeit zu strukturieren und zu überprüfen?</t>
  </si>
  <si>
    <t xml:space="preserve">Du hast also noch keine wissenschaftliche Arbeit wie eine Hausarbeit oder einen Laborbericht geschrieben. Das ist völlig in Ordnung, da es ein neues Thema für dich ist.
Du hast erwähnt, dass du Altklausuren zusammenfasst, um sie zu lernen und zu wiederholen. Das ist eine gute Strategie, um das Material zu überprüfen und zu festigen.
Außerdem hast du Checklisten erwähnt. Das ist eine weitere hilfreiche Methode, um sicherzustellen, dass du alle wichtigen Punkte abdeckst und nichts vergisst.
Lass uns nun zurück zum Thema "Organisieren und Umstrukturieren" kommen. Wie häufig verwendest du diese Lernstrategie im Allgemeinen, wenn du neue Informationen aufnimmst oder ein Projekt planst? Bitte bewerte es mit einem Wert zwischen 1 und 4, wobei 1 "selten", 2 "manchmal", 3 "oft" und 4 "meistens" bedeutet.</t>
  </si>
  <si>
    <t xml:space="preserve">Du hast also die Lernstrategie "Organisieren und Umstrukturieren" selten verwendet.
Lass uns nun zum Kontext "Bei geringer Motivation zum Lernen" übergehen. Wie gehst du normalerweise an das Lernen heran, wenn du dich nicht besonders motiviert fühlst? Welche Methoden und Strategien verwendest du, um deine Motivation zu steigern und das Lernen trotzdem fortzusetzen?</t>
  </si>
  <si>
    <t xml:space="preserve">Könntest du mir ein Beispiel geben, wie du normalerweise lernst, wenn du dich für eine Prüfung vorbereitest oder eine Hausaufgabe machst?</t>
  </si>
  <si>
    <t xml:space="preserve">Das klingt nach einer effektiven Vorbereitung auf Prüfungen. Du hast also erwähnt, dass du Altklausuren, Zusammenfassungen und Wiederholung verwendest.
Können wir nun zur Bewertung der Lernstrategie "Wiederholung" im Kontext "Bei geringer Motivation zum Lernen" übergehen? Wie häufig verwendest du diese Strategie, wenn du dich nicht besonders motiviert fühlst? Bitte gib mir eine Zahl zwischen 1 und 4, wobei 1 "selten", 2 "manchmal", 3 "oft" und 4 "meistens" bedeutet.</t>
  </si>
  <si>
    <t xml:space="preserve">Du hast also die Lernstrategie "Wiederholung" selten verwendet, wenn du dich nicht besonders motiviert fühlst.
Lass uns nun zum Kontext "Bearbeiten von Übungsaufgaben zum Kursmaterial" übergehen. Wie gehst du normalerweise an die Bearbeitung von Übungsaufgaben heran? Welche Methoden und Strategien verwendest du, um die Aufgaben zu lösen und das Kursmaterial zu vertiefen?</t>
  </si>
  <si>
    <t xml:space="preserve">Das ist verständlich. Es scheint, als ob du flexibel bist und deine Vorgehensweise an die spezifischen Anforderungen der Aufgabe anpasst. Das ist eine gute Fähigkeit, da verschiedene Aufgaben unterschiedliche Ansätze erfordern können. Es wäre hilfreich, wenn du mir ein Beispiel für eine Aufgabe geben könntest, an der du gearbeitet hast, und wie du sie angegangen bist. Das könnte mir helfen, besser zu verstehen, wie du lernst und welche Strategien du möglicherweise verwendest.</t>
  </si>
  <si>
    <t xml:space="preserve">Könntest du mir ein bisschen mehr über deine Vorgehensweise beim Rechnen bei Kalkulationen erzählen? Wie gehst du normalerweise vor, wenn du eine Kalkulation durchführen musst?</t>
  </si>
  <si>
    <t xml:space="preserve">Du hast die Strategien 'Übungs- und Gedächtnisstrategien (Auswendiglernen)' und 'Selbsterklärung' verwendet, um die Aufgaben zu lösen. Es wäre hilfreich, wenn du mir ein Beispiel für eine Aufgabe geben könntest, an der du gearbeitet hast, und wie du sie angegangen bist.</t>
  </si>
  <si>
    <t xml:space="preserve">Du übst also anhand der vorgegebenen Lösungswege, um die Kalkulationen zu lösen. Das klingt nach einer Strategie, bei der du dich auf die wiederholte Anwendung von Lösungsansätzen konzentrierst, um sie zu internalisieren.
Jetzt würde ich gerne wissen, wie häufig du die Lernstrategie "Übungs- und Gedächtnisstrategien (Auswendiglernen)" im Kontext von "Bearbeiten von Übungsaufgaben zum Kursmaterial" verwendest. Bitte gib mir einen Wert zwischen 1 und 4, wobei 1 "selten", 2 "manchmal", 3 "oft" und 4 "meistens" bedeutet.</t>
  </si>
  <si>
    <t xml:space="preserve">Required summary not given</t>
  </si>
  <si>
    <t xml:space="preserve">Du hast also die Lernstrategie "Übungs- und Gedächtnisstrategien (Auswendiglernen)" oft verwendet, um die Kalkulationen zu lösen.
Ich denke, das ist ein guter Zeitpunkt, um das Interview zu beenden. Vielen Dank, dass du dir die Zeit genommen hast, um mir von deinen Lernstrategien und -erfahrungen zu erzählen. Es war sehr hilfreich, um ein besseres Verständnis davon zu bekommen, wie du lernst und welche Strategien du verwendest.
Wenn du noch Fragen oder Anmerkungen hast, stehe ich gerne zur Verfügung. Ansonsten wünsche ich dir viel Erfolg bei deinen weiteren Lernbemühungen!</t>
  </si>
  <si>
    <t xml:space="preserve">Hello, it's nice to meet you. I'm here to conduct an interview to assess your study skills. Before we begin, I want to assure you that this conversation is a safe space for you to share your thoughts and experiences. 
To get started, could you tell me a bit about your degree? What subject is it focused on?</t>
  </si>
  <si>
    <t xml:space="preserve">Let's move on to the next learning context. You're studying International Economics, and now I'd like to explore how you handle learning and remembering information from in-person or online events, such as lectures, seminars, or webinars.
Here's an example situation: You're attending a guest lecture on "Global Trade Agreements" in your International Economics course. The speaker is discussing the latest developments in trade policies and their impact on the global economy. You want to make sure you remember the key points discussed during the lecture.
Can you tell me, what methods do you typically use to learn and remember what was said during in-person or online events like this lecture?</t>
  </si>
  <si>
    <t xml:space="preserve">004-003, 007-004</t>
  </si>
  <si>
    <t xml:space="preserve">great</t>
  </si>
  <si>
    <t xml:space="preserve">Writing down key words during the lecture and looking up things you don't understand afterwards is a great way to engage with the material.
Now, I'd like to ask you to rate how often you use a specific behaviour related to this. The behaviour is: "Keeping records and monitoring", which includes actions like taking notes, creating concept maps, or making a list of things to look up later. 
On a scale from 1 to 4, where 1 means 'seldom' and 4 means 'most of the time', how often do you use this behaviour when learning and remembering information from in-person or online events, such as lectures, seminars, or webinars?</t>
  </si>
  <si>
    <t xml:space="preserve">So, it sounds like you're actively engaging with the material during the lecture by taking notes and jotting down key words. And then, you're also taking the initiative to look up things you don't understand, which suggests you're seeking out additional information to clarify your understanding.
I'd like to ask, how often do you find yourself seeking out additional information to clarify your understanding of a topic, like you mentioned looking up things you don't understand? Would you say you do this seldom (1), occasionally (2), often (3), or most of the time (4)?</t>
  </si>
  <si>
    <t xml:space="preserve">So, you occasionally seek out additional information to clarify your understanding of a topic.
Let's move on to the next learning context. You're now in a situation where you're completing practice tasks to test your understanding of the course material. Here's an example:
You're working on a practice problem set for your International Economics course, and you're trying to apply the concepts you've learned in class to a hypothetical scenario. The problem asks you to analyze the impact of a trade embargo on a specific country's economy. You want to make sure you're applying the concepts correctly and getting the right answers.
Can you tell me, what methods do you typically use when completing practice tasks like this to test your understanding of the course material?</t>
  </si>
  <si>
    <t xml:space="preserve">003-001, 006-002</t>
  </si>
  <si>
    <t xml:space="preserve">Ignores instruction to not provide examples</t>
  </si>
  <si>
    <t xml:space="preserve">Can you tell me more about what you mean by 'read it through later'? Do you actively try to identify areas where you struggled or didn't understand the material, or do you simply re-read the task to reinforce your learning?</t>
  </si>
  <si>
    <t xml:space="preserve">You mentioned earlier that you read through your work later to see how much you understand, and also that you actively try to identify areas you're not so sure about. That suggests you're taking steps to evaluate your own understanding and regulate your learning.
Can you tell me how often you find yourself doing this - checking your understanding and identifying areas where you need more work? Would you say you do this seldom (1), occasionally (2), often (3), or most of the time (4)?</t>
  </si>
  <si>
    <t xml:space="preserve">helpful</t>
  </si>
  <si>
    <t xml:space="preserve">So you occasionally check your understanding and identify areas where you need more work. That's a helpful habit to develop.
Let's move on to a new learning context: preparing for and taking oral or written exams.
Here's an example situation:
You have a written exam coming up in your International Economics course, and you want to make sure you're well-prepared. The exam will cover key concepts and theories from the entire semester, and you know you'll need to be able to recall and apply them quickly and accurately.
What methods do you typically use to prepare for and take exams like this?</t>
  </si>
  <si>
    <t xml:space="preserve">003-001, 004-001, 001-002</t>
  </si>
  <si>
    <t xml:space="preserve">You mentioned that when preparing for exams, you go through your old notes and mark the parts you're not sure about, and then do mock exams to test your knowledge. I'd like to ask a follow-up question to understand how often you use this approach.
Can you tell me how frequently you review previously compiled records, such as notes or course materials, to prepare for exams? Would you say you do this seldom (1), occasionally (2), often (3), or most of the time (4)?</t>
  </si>
  <si>
    <t xml:space="preserve">So, it sounds like you use a combination of reviewing your notes and practicing with mock exams to help you prepare for written exams.
I'd like to ask a follow-up question to help us understand how often you use this particular approach.
On a scale of 1 to 4, where 1 means "seldom" and 4 means "most of the time", how often do you use practice testing, such as doing mock exams, to help you prepare for written exams?</t>
  </si>
  <si>
    <t xml:space="preserve">You mentioned that when preparing for exams, you go through your old notes and mark the parts you're not sure about, and then do mock exams to test your knowledge. That's a great way to identify areas where you need to focus your studying.
Can you tell me how often you use this approach when preparing for exams? On a scale of 1 to 4, where 1 means "seldom" and 4 means "most of the time", how would you rate the frequency of using this strategy?</t>
  </si>
  <si>
    <t xml:space="preserve">It seems like you consistently use a combination of reviewing notes and practicing with mock exams to prepare for exams.
Let's move on to the next learning context: reviewing course material at home.
Here's an example situation:
You're sitting at home, trying to review the course material for your International Economics class. You want to make sure you understand the concepts and can apply them to different scenarios. You have your notes, textbook, and any other study materials with you.
What methods do you typically use when reviewing course material at home?</t>
  </si>
  <si>
    <t xml:space="preserve">It sounds like you're making sure to review each chapter thoroughly.
I'd like to ask a follow-up question to understand the frequency of one specific behavior that stands out from your previous answer.
How often do you review previously compiled records, such as notes or textbook, when you're studying at home? Would you say you do this...
1. Seldom (only occasionally)
2. Sometimes (about half the time)
3. Often (most of the time, but not always)
4. Most of the time (almost every time you study at home)
Please choose the number that best fits your study habits.</t>
  </si>
  <si>
    <t xml:space="preserve">Thank you for providing a clear rating. You mentioned that you use the strategy of cross checking for each chapter most of the time. I'll make a note of that.</t>
  </si>
  <si>
    <t xml:space="preserve">Let's move on to a different context. Imagine you're having a tough day and you're feeling poorly motivated to study for your International Economics course. You've been putting off studying for a while, and now you have a lot of material to catch up on, but you just can't seem to get started. You're sitting at your desk, staring at your notes and textbooks, but you're struggling to focus.
In this situation, what methods do you typically use to try to get back on track and start studying?</t>
  </si>
  <si>
    <t xml:space="preserve">You mentioned earlier that when you're poorly motivated to study, you sometimes stand up and do something else. Can you tell me how often you use this strategy to manage your time and attention? On a scale from 1 to 4, where 1 means 'seldom' and 4 means 'most of the time', how frequently do you get up and do something else when you're struggling to stay focused on your studies?</t>
  </si>
  <si>
    <t xml:space="preserve">You've rated your use of this strategy as '2', which means you sometimes get up and do something else when you're struggling to stay focused on your studies. Let's move on to the next question.</t>
  </si>
  <si>
    <t xml:space="preserve">Let's move on to a new learning context: writing a scientific paper, such as a term paper, seminar paper, internship report, or laboratory report.
Here's an example situation:
You're working on a term paper for your International Economics course, and you need to write a clear and well-structured paper that presents your arguments and evidence in a logical and coherent way. You've done some research and taken notes, but now you need to organize your thoughts and start writing.
What methods do you typically use when writing a scientific paper like this?</t>
  </si>
  <si>
    <t xml:space="preserve">004-002, 007-004</t>
  </si>
  <si>
    <t xml:space="preserve">So it sounds like you tend to start by creating a framework or outline for your paper, and then you conduct research and fill in the details.
I'd like to ask a follow-up question to help me understand how often you use this approach. On a scale of 1 to 4, where 1 means "seldom" and 4 means "most of the time", how often do you use the strategy of creating a framework or outline before starting to write a scientific paper?</t>
  </si>
  <si>
    <t xml:space="preserve">So it sounds like you often use the strategy of creating a framework or outline before starting to write a scientific paper.
Let's move on to summarize your evaluation.
The strategy you used in the most contexts is rereading, where you mentioned several times that you review your notes, textbook, or other study materials to prepare for exams or assignments.
The strategy you used most consistently is practicing recalling the material by working through questions, with an average frequency of 4.0. This suggests that you frequently use practice testing, such as doing mock exams or quizzes, to help you prepare for exams.
In addition to these strategies, you also mentioned using other techniques such as creating frameworks or outlines, cross-checking your understanding, and seeking additional information to clarify your understanding.
Now, I'd like to point out some strategies and corresponding learning behaviors that you didn't mention as often, but can be beneficial for learning. For example, you didn't mention using self-explanation or elaboration techniques, such as explaining concepts in your own words or relating new information to your existing knowledge. You also didn't mention using visualization techniques, such as creating diagrams or concept maps, to help organize and retain information.
Overall, it seems like you have a good foundation of study strategies, but there may be some additional techniques that you can use to further support your learning.</t>
  </si>
  <si>
    <t xml:space="preserve">It was a pleasure conducting this interview with you and helping you reflect on your study strategies. I hope you found it helpful and informative. If you have any further questions or would like to discuss your results in more detail, feel free to ask!</t>
  </si>
  <si>
    <t xml:space="preserve">Hello! It's nice to meet you. I'm here to conduct an interview with you today to learn more about your study skills and habits. Please make yourself comfortable, and we'll get started.
To begin, could you tell me a bit about your academic background? What subject is your degree in?</t>
  </si>
  <si>
    <t xml:space="preserve">Let's move on to the next learning context. You're currently studying Audiology, and I'd like to explore how you approach completing practice tasks to test your understanding of the course material.
Imagine you're working on a set of practice questions related to audiometric testing, and you're trying to assess your understanding of the different types of hearing tests and their applications. You've just finished reading a chapter on the topic and want to see how well you can apply the concepts.
Can you tell me, what methods do you typically use when completing practice tasks like this to test your understanding of the course material?</t>
  </si>
  <si>
    <t xml:space="preserve">You mentioned earlier that you make summaries of the different tests and compare their benefits and limitations. I'd like to explore this further. Can you tell me how often you use this approach of summarizing and comparing information when studying for a course or preparing for an assessment? Would you say you do this seldom (1), occasionally (2), often (3), or most of the time (4)?</t>
  </si>
  <si>
    <t xml:space="preserve">Now, I'd like to move on to a different learning context. Let's talk about situations where you might be feeling poorly motivated to study.
Imagine you've had a long day, you're feeling tired, and you still have a lot of study material to get through for your Audiology course. You've been studying for hours, and you're starting to feel mentally fatigued. You're having trouble focusing, and you just want to take a break and do something more enjoyable.
In a situation like this, where you're feeling poorly motivated to study, what methods do you typically use to try to overcome this feeling and stay on track with your studies?</t>
  </si>
  <si>
    <t xml:space="preserve">So, it sounds like you try to manage your time effectively by stopping work when you're feeling fatigued and coming back to it when you're feeling more refreshed.
I'd like to ask you to rate how often you use this strategy of stopping work and coming back to it later, such as the next morning, when you're feeling poorly motivated to study. Would you say you do this:
1. Seldom (only occasionally)
2. Sometimes (about half the time)
3. Often (more often than not)
4. Most of the time (almost always)
Please choose a number that best reflects your behavior.</t>
  </si>
  <si>
    <t xml:space="preserve">Let's move on to a different context. Imagine you're at home, reviewing course material for your audiology degree. You're sitting at your desk, surrounded by your notes and textbooks, and you're trying to make sense of a complex topic, such as the different types of hearing loss or the principles of audiological assessment. You want to make sure you understand the material well, so you can apply it in your future career as an audiologist.
What methods do you typically use when reviewing course material at home?</t>
  </si>
  <si>
    <t xml:space="preserve">001-002, 003-001</t>
  </si>
  <si>
    <t xml:space="preserve">You mentioned earlier that you use practice questions or cases and past papers as part of your review process at home. I'd like to follow up on that. Can you tell me how often you use practice testing, such as working through practice questions or past papers, to review course material at home? Would you say you do this seldom (1), occasionally (2), frequently (3), or most of the time (4)?</t>
  </si>
  <si>
    <t xml:space="preserve">Now, let's move on to the context of preparing for and taking oral or written exams. Imagine you have a written exam coming up in your Audiology course, and you want to make sure you're well-prepared. You've been studying for weeks, and you're feeling confident about the material, but you want to make sure you can apply it in a timed, high-pressure situation.
What methods do you typically use when preparing for and taking written exams?</t>
  </si>
  <si>
    <t xml:space="preserve">So it sounds like you're using a combination of active recall and self-testing to prepare for exams. Let's focus on the practice papers under timed conditions for a moment.
On a scale from 1 to 4, where 1 means "seldom" and 4 means "most of the time", how frequently do you use practice testing, such as taking practice papers under timed conditions, as a way to prepare for written exams?</t>
  </si>
  <si>
    <t xml:space="preserve">Let's move on to a different context. Imagine you're attending a guest lecture or a conference related to Audiology, and the speaker is presenting on a topic that's relevant to your studies. You want to make sure you understand and remember the key points from the presentation.
What methods do you typically use to learn and remember what was said during in-person or online events, such as lectures or conferences?</t>
  </si>
  <si>
    <t xml:space="preserve">004-003, 004-002</t>
  </si>
  <si>
    <t xml:space="preserve">Valid answer given, requesting more detail was not necessary</t>
  </si>
  <si>
    <t xml:space="preserve">You're using a combination of strategies to engage with the material and reinforce your learning. Can you think of any other methods you might use to learn and remember information from lectures or conferences?</t>
  </si>
  <si>
    <t xml:space="preserve">You mentioned using mind maps as another tool to help with learning and remembering information from lectures and conferences.
To help me better understand how often you engage in keeping a record of what's being said during these events, I'd like to ask you to think about your habits on a scale from 1 to 4.
When attending lectures, conferences, or online events, how often do you take notes, create mind maps, or use other methods to keep a record of what's being said? 
Would you say you do this:
1. Seldom (only occasionally, when you feel it's really necessary)
2. Sometimes (you try to, but it's not a consistent habit)
3. Often (you usually make an effort to take notes or create a record of the event)
4. Most of the time (it's an automatic habit for you to take notes or create a record whenever you attend an event)
Which number would you choose?</t>
  </si>
  <si>
    <t xml:space="preserve">Mind maps can be a great visual tool for organizing and connecting ideas. Now, I'd like to ask you to reflect on how often you use these strategies, including note-taking, reviewing and summarizing, and mind maps, to learn and remember information from lectures or conferences.
On a scale from 1 to 4, where 1 means "seldom" and 4 means "most of the time", how often would you say you use these strategies to help you learn and remember what was said during in-person or online events?</t>
  </si>
  <si>
    <t xml:space="preserve">Let's move on to a different context. Imagine you're working on a scientific paper, such as a term paper, seminar paper, internship report, or laboratory report, related to Audiology. You need to present your research findings, discuss the implications, and provide recommendations.
What methods do you typically use when writing a scientific paper?</t>
  </si>
  <si>
    <t xml:space="preserve">You mentioned planning the overall structure and literature review when writing a scientific paper. Can you tell me how often you find yourself reorganizing and rephrasing information to make it clearer and more concise, such as breaking down complex ideas into smaller sections or creating an outline to guide your writing? Would you say you do this seldom (1), occasionally (2), often (3), or most of the time (4)?</t>
  </si>
  <si>
    <t xml:space="preserve">Final question was not part of prompt</t>
  </si>
  <si>
    <t xml:space="preserve">Now, I'd like to summarize the strategies you've mentioned throughout our conversation. It seems that you frequently use a variety of strategies to learn and remember information, including:
* Making summaries of key points
* Creating mind maps
* Taking practice tests and quizzes
* Reviewing and summarizing notes
* Planning the overall structure of a paper
* Conducting literature reviews
* Reorganizing and rephrasing information to make it clearer and more concise
You also mentioned that you often use these strategies in different contexts, such as when studying for exams, attending lectures, and working on scientific papers.
I'd like to ask you one final question. How do you think these strategies have helped you in your studies and academic pursuits?</t>
  </si>
  <si>
    <t xml:space="preserve">No reference to positive user comment</t>
  </si>
  <si>
    <t xml:space="preserve">Thank you for taking the time to participate in this interview. Based on your responses, we have evaluated your study skills and strategies.
The strategy you used in the most contexts is "Organising and transforming," which involves selecting, arranging, and transforming important information into a structured format to better understand and remember it. This can be done through creating summaries, mind maps, diagrams, or keyword lists. You mentioned making summaries of different tests, comparing benefits and limitations of each, and creating mind maps to organize information.
The strategy you used most consistently is "Keeping records and monitoring," which involves recording events or results to track progress and identify areas for improvement. You mentioned taking notes during lectures, reviewing and summarizing them after, and keeping track of practice questions or cases. You also mentioned reviewing key points and summary notes, and planning overall structure and literature review. Your average frequency of using this strategy is 4.0, indicating that you use it frequently.
In addition to these strategies, you also mentioned using "Practice testing," which involves practicing recalling material by working through questions or past papers. You mentioned using practice papers under timed conditions, reviewing key points and summary notes, and practicing questions or cases.
Other strategies you mentioned using consistently include "Self-consequences" (e.g., stopping work and starting again early in the morning), "Time and attention management" (e.g., planning overall structure, literature review), and "Organising and transforming" (e.g., creating mind maps).
These strategies are effective because they help you to actively engage with the material, organize and structure information, and track your progress. By using these strategies, you can improve your understanding and retention of the material, and develop a more efficient and effective approach to learning.
There are also some strategies that you did not mention using, which may be beneficial to consider. For example, "Retrieval practice" involves actively recalling information from memory without the use of external aids, and can be done through practice tests, self-testing, or using flashcards. "Distributed practice" involves spreading learning over a longer period of time, rather than cramming all the material in one sitting. "Elaboration" involves actively linking new information to existing knowledge, and can be done through explaining relationships between ideas, or thinking about the meaning behind the material.
We hope this evaluation is helpful in providing you with a better understanding of your study skills and strategies. If you have any questions or would like to discuss your results further, please don't hesitate to ask.</t>
  </si>
  <si>
    <t xml:space="preserve">Guten Tag! Herzlich willkommen zu unserem Gespräch über Lernstrategien und -methoden. Mein Name ist \[Name], und ich freue mich darauf, mehr über deine Ansätze und Erfahrungen während deines Studiums zu erfahren. Zunächst einmal: In welchem Fach strebst du deinen Abschluss an?</t>
  </si>
  <si>
    <t xml:space="preserve">Weiterbildung zur Praxisanleiterin in den Pflegeberufen</t>
  </si>
  <si>
    <t xml:space="preserve">Intro step not concluded</t>
  </si>
  <si>
    <t xml:space="preserve">Danke dir für diese Information! Das klingt nach einer sehr praxisnahen und zukunftsorientierten Ausbildung. Wir haben also das Fach "Weiterbildung zur Praxisanleiterin in den Pflegeberufen" notiert.
Als Nächstes würde ich gerne wissen: Wie bereitest du dich typischerweise auf Prüfungen oder wichtige Projektabschnitte vor? Gibt es spezielle Lernmethoden oder Techniken, auf die du besonders viel vertraust?</t>
  </si>
  <si>
    <t xml:space="preserve">Die Prüfungen sind in Form von Hausarbeiten. Ich recherchiere Fachliteratur und wiederhole Unterrichtsinhalte.</t>
  </si>
  <si>
    <t xml:space="preserve">Das klingt nach einem gut strukturierten Ansatz. Die Kombination aus Recherche von Fachliteratur und der Wiederholung von Unterrichtsinhalten bietet eine solide Grundlage für die Erstellung von Hausarbeiten.
Wie gehst du mit schwierigen oder komplexen Themen um, die du während deiner Recherchen oder bei der Bearbeitung von Hausarbeiten encountered hast? Gibt es spezielle Strategien oder Ressourcen, auf die du zurückgreifst, um diese Herausforderungen zu meistern?</t>
  </si>
  <si>
    <t xml:space="preserve">Ich lese sie mehrmal und mache mir Notizen oder Schaubilder</t>
  </si>
  <si>
    <t xml:space="preserve">Das ist ein guter Ansatz! Durch wiederholtes Lesen und das Erstellen von Notizen oder Schaubildern kannst du komplexe Informationen besser strukturieren und verarbeiten. Visualisierung durch Schaubilder kann besonders hilfreich sein, um Zusammenhänge zwischen verschiedenen Konzepten zu verdeutlichen.
Wie organisiert du deine Zeit undpriorisierst du Aufgaben, wenn du an mehreren Hausarbeiten oder Projekten parallel arbeitest? Gibt es bestimmte Zeitmanagement-Techniken oder Werkzeuge, die du dabei verwendest?</t>
  </si>
  <si>
    <t xml:space="preserve">Ich trage mir großzügig Zeit in meinen Terminkalender ein. Ich habe aber Probleme, mich diszipliniert  an meine Zeitpläne zu halten. manchmal habe probleme, mich zu konzentrieren. Manchmal nutze ich die pomodoro-methode.</t>
  </si>
  <si>
    <t xml:space="preserve">Das ist ein realistischer Ansatz! Es ist großartig, dass du dir großzügig Zeit im Terminkalender einträgst, um sicherzustellen, dass du genug Zeit für deine Aufgaben hast. Die Pomodoro-Methode kann auch sehr hilfreich sein, um sich zu konzentrieren und die Produktivität zu steigern.
Es ist auch sehr ehrlich von dir, dass du Probleme mit der Disziplin und Konzentration hast. Das ist ein häufiges Problem, das viele Studierende haben. Hast du schon mal darüber nachgedacht, was genau dich ablenkt oder warum du Schwierigkeiten hast, dich zu konzentrieren? Gibt es bestimmte Situationen oder Faktoren, die deine Konzentration beeinträchtigen?</t>
  </si>
  <si>
    <t xml:space="preserve">Oft fällt es mir schwer, mich aufzuraffen und anzufangen. Wenn ich an dem Tag schon gearbeitet oder anderes unternommen habe, kann ich mich schlecht konzentrieren. Manchmal lenken mich smartphone oder unordnung ab</t>
  </si>
  <si>
    <t xml:space="preserve">Das ist ein klassisches Problem! Es kann sehr schwierig sein, sich nach einem langen Tag oder anderen Aktivitäten noch zu konzentrieren und anzufangen. Es ist auch verständlich, dass der Smartphone oder Unordnung ablenken können.
Es gibt ein paar Strategien, die du vielleicht ausprobieren könntest, um deine Konzentration zu verbessern. Zum Beispiel könntest du versuchen, deine Lernzeit in den Morgen zu verlegen, wenn du noch frisch und ausgeruht bist. Oder du könntest versuchen, deine Lernumgebung so zu gestalten, dass sie möglichst ablenkungsfrei ist. Das könnte bedeuten, dass du dein Smartphone auf stumm stellst oder es in einem anderen Raum lässt, oder dass du deine Lernmaterialien in einem sauberen und ordentlichen Raum aufbewahrst.
Eine weitere Strategie könnte sein, dass du dich vor deiner Lernzeit auf ein bestimmtes Ritual einlässt, das dir hilft, dich zu konzentrieren. Das könnte zum Beispiel ein kurzer Spaziergang, ein paar Minuten Meditation oder ein bestimmtes Musikstück sein.
Was denkst du? Könntest du dich vorstellen, eine dieser Strategien auszuprobieren?</t>
  </si>
  <si>
    <t xml:space="preserve">Ich denke, viele dieser strategien kann ich ausprobieren. Hast du idee, wie ich mich motivieren kann, anzufangen? Hast du strategieren, wie ich effizient fachtexte lese?</t>
  </si>
  <si>
    <t xml:space="preserve">Das ist großartig, dass du offen für neue Strategien bist!
Motivation ist ein wichtiger Teil des Lernprozesses. Hier sind ein paar Ideen, die dir helfen könnten, dich zu motivieren:
* Setze dir klare, erreichbare Ziele für deine Lernzeit. Zum Beispiel könntest du dir vornehmen, eine bestimmte Anzahl an Seiten zu lesen oder eine bestimmte Aufgabe zu erledigen.
* Erstelle eine Belohnung für dich selbst, wenn du deine Ziele erreichst. Das könnte zum Beispiel ein bestimmtes Essen, ein Film oder ein Treffen mit Freunden sein.
* Erstelle eine positive Lernumgebung. Das könnte bedeuten, dass du deine Lernmaterialien in einem bestimmten Raum aufbewahrst, der dich inspiriert oder motiviert.
* Suche dir einen Lernpartner oder eine Lerngruppe. Das kann helfen, dich zu motivieren und gleichzeitig kann man von einander lernen.
Was das effiziente Lesen von Fachtexten angeht, hier sind ein paar Strategien:
* Scanne den Text vorher, um den Inhalt zu verstehen. Lies den Titel, die Einleitung und den Schluss, um den roten Faden zu verstehen.
* Teile den Text in kleinere Abschnitte ein und lese ihn Abschnitt für Abschnitt.
* Erstelle eine Zusammenfassung des Textes, indem du die wichtigsten Punkte notierst.
* Verwende ein Glossar oder einen Wörterbuch, um unbekannte Begriffe zu verstehen.
* Lies den Text aktiv, indem du Fragen stellst, wie zum Beispiel "Was ist der Hauptpunkt des Textes?" oder "Was sind die wichtigsten Argumente?"
Ich hoffe, diese Ideen helfen dir bei deinem Lernprozess!
Wir sind fast am Ende unseres Gesprächs. Wie fandest du unser Gespräch? Fühlst du dich inspiriert, neue Strategien auszuprobieren?</t>
  </si>
  <si>
    <t xml:space="preserve">Ich fand das gespräch sejr hilfreich und habe neue strategien kennengelernt, die mir hoffentlich helfen. Hast du auch tipps gegen die nervosität vor prüfungen?</t>
  </si>
  <si>
    <t xml:space="preserve">Did not ask about strategies</t>
  </si>
  <si>
    <t xml:space="preserve">Du studierst zur Praxisanleiterin in den Pflegeberufen. Das ist ein anspruchsvolles Studium. Es kann vorkommen, dass man sich in Situationen befindet, in denen die Motivation zum Lernen nicht so groß ist. Kannst du mir beschreiben, wie du dich fühlst, wenn du dich in solchen Situationen befindest?</t>
  </si>
  <si>
    <t xml:space="preserve">Welche situationen sind gemeint?</t>
  </si>
  <si>
    <t xml:space="preserve">Ich meine Situationen, in denen du dich zum Lernen hinsetzen musst, aber deine Motivation nicht so groß ist. Zum Beispiel, wenn du ein schwieriges Thema lernen musst, aber du dich nicht konzentrieren kannst, oder wenn du einfach keine Lust hast, zu lernen, weil du müde bist oder andere Dinge im Kopf hast. Kannst du mir ein Beispiel aus deinem Alltag nennen, in dem du dich so gefühlt hast?</t>
  </si>
  <si>
    <t xml:space="preserve">Zum beispiel habe ich nach dem frühdienst zeit zu lernen. Dann bin ich aber müde, weil ich schon um 4.45 uhr aufgestanden bin. Oder ich habe an freien tagen mehr lust, etwas schönes zu unternehmen als zu lernen.</t>
  </si>
  <si>
    <t xml:space="preserve">Kannst du mir erzählen, wie du normalerweise entscheidest, ob du trotzdem lernst oder ob du dich für etwas anderes entscheidest? Gibt es bestimmte Faktoren, die deine Entscheidung beeinflussen?</t>
  </si>
  <si>
    <t xml:space="preserve">007-005, 007-002</t>
  </si>
  <si>
    <t xml:space="preserve">Manchmal entscheide ich, nicht zu lernen, wenn ich insgesamt noch genug zeit habe oder schlechte laune habe. Ich entscheide mich zu lernen, wenn ich mich grade willensstärker fühle oder entscheide, als belohnung etwas schönes zu machen</t>
  </si>
  <si>
    <t xml:space="preserve">Das klingt nach einem sehr realistischen Ansatz! Es ist wichtig, dass du auf deine Bedürfnisse und deine Stimmung achtest. Wenn du dich nicht in der Lage fühlst, zu lernen, weil du müde oder in schlechter Laune bist, ist es vielleicht besser, sich für etwas anderes zu entscheiden.
Es ist auch großartig, dass du dir als Belohnung etwas Schönes gönnst, wenn du dich zum Lernen entscheidest. Das kann helfen, deine Motivation zu steigern und dir ein positives Gefühl zu geben.
Wie gehst du normalerweise mit deiner Zeit um, wenn du dich entscheidest, nicht zu lernen? Verbringst du die Zeit mit etwas, das dir Spaß macht, oder machst du einfach nur nichts?</t>
  </si>
  <si>
    <t xml:space="preserve">Mal so, mal so, ganz nach gefühl. Manchmal habe ich dann aber auch ein schlechtes gewissen, weil ich nicht lerne.</t>
  </si>
  <si>
    <t xml:space="preserve">Das ist verständlich. Es kann schwierig sein, wenn man das Gefühl hat, dass man etwas tun sollte, aber einfach keine Lust dazu hat. Es ist wichtig, dass du dich selbst nicht zu sehr unter Druck setzt, aber es ist auch gut, dass du dir deiner Verantwortung bewusst bist.
Lass uns noch mal auf die Lernstrategie "Zeit- und Aufmerksamkeitsmanagement" zurückkommen. Wie oft würdest du sagen, dass du diese Strategie anwendest, wenn du Übungsaufgaben zum Kursmaterial bearbeitest? Würdest du sagen, dass du sie selten (1), manchmal (2), oft (3) oder meistens (4) verwendest?</t>
  </si>
  <si>
    <t xml:space="preserve">Du verwendest die Strategie "Zeit- und Aufmerksamkeitsmanagement" oft, wenn du Übungsaufgaben zum Kursmaterial bearbeitest. Das ist großartig! Es zeigt, dass du dir bewusst bist, wie wichtig es ist, deine Zeit und Aufmerksamkeit zu managen, um effektiv zu lernen.
Lass uns noch mal auf die Lernstrategie "Selbstmotivation" zurückkommen. Wie oft würdest du sagen, dass du dich selbst motivierst, wenn du Schwierigkeiten hast, dich auf eine Aufgabe zu konzentrieren? Würdest du sagen, dass du dich selten (1), manchmal (2), oft (3) oder meistens (4) selbst motivierst?</t>
  </si>
  <si>
    <t xml:space="preserve">Könntest du mir ein Beispiel geben, wie du dich selbst motivierst, wenn du Schwierigkeiten hast, dich auf eine Aufgabe zu konzentrieren?</t>
  </si>
  <si>
    <t xml:space="preserve">Ich setze oft ein zeitlimit. Ich lege dann zb fest eine halbe stunde zu lernen und danach darf ich etwas anderes machen</t>
  </si>
  <si>
    <t xml:space="preserve">Das ist eine großartige Strategie! Indem du ein Zeitlimit setzt, kannst du dich selbst motivieren, dich auf die Aufgabe zu konzentrieren, und gleichzeitig hast du auch etwas, auf das du dich freuen kannst, wenn du fertig bist. Das ist ein guter Weg, um deine Motivation aufrechtzuerhalten.
Lass uns nun zu einer anderen Lernstrategie übergehen. Wie oft würdest du sagen, dass du die Strategie "Zeit- und Aufmerksamkeitsmanagement" im Kontext von "Aufnehmen und Erinnern von Inhalten von Live-Veranstaltungen in Präsenz oder Online" verwendest? Würdest du sagen, dass du sie selten (1), manchmal (2), oft (3) oder meistens (4) verwendest?</t>
  </si>
  <si>
    <t xml:space="preserve">Du verwendest die Strategie "Zeit- und Aufmerksamkeitsmanagement" manchmal im Kontext von "Aufnehmen und Erinnern von Inhalten von Live-Veranstaltungen in Präsenz oder Online". Das ist ein guter Ansatz, um sicherzustellen, dass du die wichtigsten Informationen aufnimmst und dich auf die Inhalte konzentrierst.
Lass uns nun zu einer anderen Frage übergehen. Wie wichtig ist es für dich, dass du deine Lernziele erreicht? Skaliere deine Antwort von 1 (nicht wichtig) bis 5 (sehr wichtig).</t>
  </si>
  <si>
    <t xml:space="preserve">Könntest du mir ein Beispiel geben, wie du deine Lernziele im Kontext des Verfassens einer wissenschaftlichen Arbeit erreicht hast?</t>
  </si>
  <si>
    <t xml:space="preserve">Indem ich alle nötigen bereiche/ aufgaben bearbeitet habe und rechtzeitig mit der arbeit fertig bin, sodass ich noch jemanden korrekturlesen lassen kann</t>
  </si>
  <si>
    <t xml:space="preserve">Das klingt nach einem gut durchdachten Plan. Du hast also deine Arbeit in kleinere, überschaubare Aufgaben unterteilt und dich um eine rechtzeitige Fertigstellung bemüht, um noch eine Korrekturlesung einbauen zu können. Das ist eine effektive Strategie, um sicherzustellen, dass deine Arbeit von guter Qualität ist.
Lass uns nun zu der ursprünglichen Frage zurückkehren. Wie häufig verwendest du die Lernstrategie "Lernziele setzen und planen" im Kontext des Verfassens einer wissenschaftlichen Arbeit? Skaliere deine Antwort von 1 (selten) bis 4 (meistens).</t>
  </si>
  <si>
    <t xml:space="preserve">Das klingt nach einer effektiven Vorgehensweise. Du hast deine Ziele also erreicht, indem du eine klare Struktur verfolgt und genug Zeit eingeplant hast, um deine Arbeit zu überprüfen und korrigieren zu lassen.
Lass uns nun zur Lernstrategie "Selbstbewertung und -regulierung" im Kontext von "Verfassen einer wissenschaftlichen Arbeit" zurückkehren. Wie häufig verwendest du diese Strategie, um deine Fortschritte zu überprüfen und deine Arbeit anzupassen? Bitte skaliere deine Antwort von 1 (selten) bis 4 (meistens).</t>
  </si>
  <si>
    <t xml:space="preserve">Das klingt nach einem gut durchdachten Plan. Du hast also deine Zeit effektiv genutzt, um alle notwendigen Aufgaben zu erledigen und deine Arbeit rechtzeitig fertigzustellen, damit du noch jemanden bitten konntest, sie zu korrigieren.
Lass uns nun zu der Lernstrategie "Zeit- und Aufmerksamkeitsmanagement" zurückkehren. Wie häufig verwendest du diese Strategie im Kontext des Verfassens einer wissenschaftlichen Arbeit, wie z.B. einer Hausarbeit/Seminararbeit, eines Praktikumsberichts oder Laborberichts? Skaliere deine Antwort von 1 (selten) bis 4 (meistens).</t>
  </si>
  <si>
    <t xml:space="preserve">Did not recognise valid frequency answer</t>
  </si>
  <si>
    <t xml:space="preserve">Bitte gib mir eine gültige Häufigkeitsbewertung für die Strategie '007-005'.</t>
  </si>
  <si>
    <t xml:space="preserve">Wie bitte?</t>
  </si>
  <si>
    <t xml:space="preserve">Entschuldigung, das war ein Fehler meinerseits. Ich habe mich geirrt. Ich wiederhole die Frage:
Wie häufig verwendest du die Strategie "Zeit- und Aufmerksamkeitsmanagement" im Kontext des Verfassens einer wissenschaftlichen Arbeit, wie z.B. einer Hausarbeit/Seminararbeit, eines Praktikumsberichts oder Laborberichts? Skaliere deine Antwort von 1 (selten) bis 4 (meistens).</t>
  </si>
  <si>
    <t xml:space="preserve">Könntest du mir ein Beispiel geben, wie du deine Zeit und Aufmerksamkeit beim Verfassen von wissenschaftlichen Arbeiten managst?</t>
  </si>
  <si>
    <t xml:space="preserve">Wenn, dann oft durch die pomodoro methode</t>
  </si>
  <si>
    <t xml:space="preserve">Die Pomodoro-Methode ist eine effektive Technik, um die Konzentration zu verbessern und die Produktivität zu steigern. Sie besteht darin, in regelmäßigen Abständen (typischerweise 25 Minuten) zu arbeiten und dann eine kurze Pause einzulegen.
Lass uns zum nächsten Punkt übergehen: Wie häufig verwendest du die Strategie "Zeit- und Aufmerksamkeitsmanagement" im Kontext der Vorbereitung und des Ablegens mündlicher oder schriftlicher Prüfungen? Skaliere deine Antwort von 1 (selten) bis 4 (meistens).</t>
  </si>
  <si>
    <t xml:space="preserve">Du verwendest die Strategie "Zeit- und Aufmerksamkeitsmanagement" oft im Kontext der Vorbereitung und des Ablegens mündlicher oder schriftlicher Prüfungen. Das ist eine gute Vorgehensweise, um sicherzustellen, dass du dich gut vorbereitest und deine Zeit effektiv nutzt.
Lass uns zum nächsten Punkt übergehen: Wie wichtig ist es für dich, dass du deine Lernziele erreicht? Skaliere deine Antwort von 1 (nicht wichtig) bis 4 (sehr wichtig).</t>
  </si>
  <si>
    <t xml:space="preserve">Du hast die Bedeutung der Erreichung deiner Lernziele mit 3 bewertet. Das ist ein guter Ausgangspunkt, um deine Lernstrategien zu reflektieren und gegebenenfalls anzupassen. Lass uns nun deine Antwort analysieren: Du hast keine der Strategien aus der Liste beschrieben. Deine Antwort war zu kurz und enthielt keine Hinweise auf eine bestimmte Lernstrategie. Um deine Strategie zu kategorisieren, wären weitere Informationen erforderlich.</t>
  </si>
  <si>
    <t xml:space="preserve">Könntest du mir ein Beispiel geben, wie du deine Zeit und Aufmerksamkeit beim Lernen managst?</t>
  </si>
  <si>
    <t xml:space="preserve">Diese frage habe ich schon beantwortet</t>
  </si>
  <si>
    <t xml:space="preserve">Könntest du mir bitte mehr über deine Vorgehensweise erzählen, wie du deine Zeit und Aufmerksamkeit beim Lernen managst?</t>
  </si>
  <si>
    <t xml:space="preserve">006-001, 007-005</t>
  </si>
  <si>
    <t xml:space="preserve">Ich sollte meinen arbeitsplatz ordentlicher und angenehmer gestallten. Meine zeit manage ich, in dem ich einen lernplan erstelle und in meinen terminplan eintrage. Beim lernen nutze uch timer</t>
  </si>
  <si>
    <t xml:space="preserve">Das klingt nach einer effektiven Vorgehensweise! Du erstellst einen Lernplan und triffst Vorkehrungen, um deine Zeit effizient zu nutzen. Der Einsatz eines Timers kann auch helfen, dich zu fokussieren und regelmäßige Pausen einzulegen.
Lass uns zum nächsten Punkt übergehen: Wie häufig verwendest du die Lernstrategie "Zeit- und Aufmerksamkeitsmanagement" im Kontext von "Durcharbeiten von Kurstexten"? Bitte bewerte dies mit einem Wert zwischen 1 (selten) und 4 (meistens).</t>
  </si>
  <si>
    <t xml:space="preserve">Das klingt nach einer effektiven Vorgehensweise! Du erstellst einen Lernplan und triffst Vorkehrungen, um deine Zeit zu managen. Der Einsatz eines Timers kann auch helfen, deine Konzentration zu verbessern und regelmäßige Pausen einzulegen.
Lass uns nun zu einem anderen Punkt übergehen. Wie häufig nutzt du die Lernstrategie "Räumliche Rahmenbedingungen" im Kontext von "Durcharbeiten von Kurstexten"? Bitte bewerte dies mit einem Wert zwischen 1 (selten) und 4 (meistens).</t>
  </si>
  <si>
    <t xml:space="preserve">Zu wenig, 1</t>
  </si>
  <si>
    <t xml:space="preserve">Repetition of previous question</t>
  </si>
  <si>
    <t xml:space="preserve">Könntest du mir bitte sagen, wie oft du die Strategie 'Räumliche Rahmenbedingungen' verwendest? Lass uns ein Beispiel durchgehen.</t>
  </si>
  <si>
    <t xml:space="preserve">Mein arbeitsplatz ist häufig unordentlich und ungemütlich, er könnte schöner gestaltet werden</t>
  </si>
  <si>
    <t xml:space="preserve">Kept asking about frequencies of strategies when interview should be complete</t>
  </si>
  <si>
    <t xml:space="preserve">Das ist ein wichtiger Punkt! Ein unordentlicher und ungemütlicher Arbeitsplatz kann deine Konzentration und Produktivität beeinträchtigen. Es ist großartig, dass du dir dessen bewusst bist und bereit bist, etwas zu ändern.
Eine schöne und ordentliche Arbeitsumgebung kann helfen, deine Motivation und Konzentration zu verbessern. Vielleicht könntest du einige Schritte unternehmen, um deinen Arbeitsplatz zu gestalten und ihn zu einem angenehmeren Ort zu machen, an dem du lernen und arbeiten kannst.
Lass uns zum nächsten Punkt übergehen. Wie häufig verwendest du die Lernstrategie "Selbstbewertung und -regulierung" im Kontext von "Durcharbeiten von Kurstexten"? Bitte bewerte dies mit einem Wert zwischen 1 (selten) und 4 (meistens).</t>
  </si>
  <si>
    <t xml:space="preserve">Das ist ein wichtiger Punkt! Selbstbewertung und -regulierung sind wichtige Fähigkeiten, um deine Lernprozesse zu verbessern. Es ist großartig, dass du dir dessen bewusst bist und bereit bist, etwas zu ändern.
Eine Selbstbewertung kann helfen, deine Stärken und Schwächen zu identifizieren und deine Lernziele zu erreichen. Vielleicht könntest du einige Schritte unternehmen, um deine Selbstbewertung und -regulierung zu verbessern, wie zum Beispiel regelmäßige Selbstreflexion oder das Setzen von Lernzielen.
Lass uns zum nächsten Punkt übergehen. Wie häufig verwendest du die Lernstrategie "Hilfe bei Kommilitonen, Lehrpersonal oder anderen suchen" im Kontext von "Durcharbeiten von Kurstexten"? Bitte bewerte dies mit einem Wert zwischen 1 (selten) und 4 (meistens).</t>
  </si>
  <si>
    <t xml:space="preserve">Entschuldigung, ich denke, es gab ein Missverständnis. Du hast gerade eine 3 eingegeben, aber ich denke, du hast vorher eine 1 eingegeben. Könntest du mir bitte bestätigen, welche Bewertung du für die Lernstrategie "Selbstbewertung und -regulierung" im Kontext von "Durcharbeiten von Kurstexten" geben möchtest?</t>
  </si>
  <si>
    <t xml:space="preserve">Entschuldigung, aber ich denke, wir haben uns verwirrt. Ich habe dich gefragt, wie oft du die Strategie "Selbstbewertung und -regulierung" im Kontext von "Durcharbeiten von Kurstexten" verwendest, und du hast drei unterschiedliche Antworten gegeben: 1, 3 und wieder 1.
Könntest du mir bitte sagen, welche Antwort korrekt ist?</t>
  </si>
  <si>
    <t xml:space="preserve">1 ist korrekt</t>
  </si>
  <si>
    <t xml:space="preserve">Entschuldigung für den Fehler. Du hast also die Strategie "Selbstbewertung und -regulierung" im Kontext von "Durcharbeiten von Kurstexten" mit 1 bewertet, was bedeutet, dass du sie selten verwendest.
Lass uns zum nächsten Punkt übergehen. Wie häufig verwendest du die Lernstrategie "Hilfe bei Kommilitonen, Lehrpersonal oder anderen suchen" im Kontext von "Durcharbeiten von Kurstexten"? Bitte bewerte dies mit einem Wert zwischen 1 (selten) und 4 (meistens).</t>
  </si>
  <si>
    <t xml:space="preserve">Ich denke, wir hatten uns auf 1 geeinigt. Du hast die Strategie "Selbstbewertung und -regulierung" im Kontext von "Durcharbeiten von Kurstexten" mit 1 bewertet, was bedeutet, dass du sie selten verwendest.
Lass uns zum nächsten Punkt übergehen. Wie häufig verwendest du die Lernstrategie "Hilfe bei Kommilitonen, Lehrpersonal oder anderen suchen" im Kontext von "Durcharbeiten von Kurstexten"? Bitte bewerte dies mit einem Wert zwischen 1 (selten) und 4 (meistens).</t>
  </si>
  <si>
    <t xml:space="preserve">Die antwort aud die frage: Wie häufig verwendest du die Lernstrategie "Hilfe bei Kommilitonen, Lehrpersonal oder anderen suchen" im Kontext von "Durcharbeiten von Kurstexten"? Ist 2</t>
  </si>
  <si>
    <t xml:space="preserve">Das klingt nach einer interessanten Strategie! Du suchst manchmal Hilfe bei Kommilitonen, Lehrpersonal oder anderen, wenn du Schwierigkeiten bei der Arbeit mit Kurstexten hast. Das ist eine gute Vorgehensweise, um sicherzustellen, dass du die Informationen richtig verstehst.
Ich denke, das ist alles für heute. Wir haben viele interessante Dinge besprochen. Ich danke dir für deine Offenheit und deine Bereitschaft, deine Lernstrategien zu reflektieren. Ich hoffe, diese Gespräche haben dir geholfen, deine Stärken und Schwächen besser zu verstehen und möglicherweise neue Strategien für dein Lernen zu entwickeln. Falls du noch Fragen hast oder weiterhin über deine Lernstrategien sprechen möchtest, stehe ich gerne zur Verfügung.
Die Strategien, die du konsistent verwendest, sind:
*   Zeit- und Aufmerksamkeitsmanagement (Strategie: 007-005)
*   Selbstregulierung (Meta-Kognition; Strategie: 006-002)
*   Selbstbelohnung (Ressourcen; Strategie: 007-002)
*   Planung (Zeit- und Aufmerksamkeitsmanagement; Meta-Kognition; Strategie: 006-001)
*   Kommunikation (Ressourcen; Strategie: 007-003)
Die Strategien, die du weniger oder gar nicht verwendest, sind:
*   Auswendiglernen (Übungs- und Gedächtnisstrategien; Strategie: 001-001)
*   Durcharbeiten von bereits erstellten Aufzeichnungen (Wiederholen; Strategie: 003-001)
*   Hervorheben und Unterstreichen (Organisation; Strategie: 004-001)
*   Umstrukturierung (Organisation; Strategie: 004-002)
*   Aufzeichnungen führen (Organisation; Strategie: 004-003)
*   Visualisierung (Organisation; Strategie: 004-004)
*   Selbstbericht (Elaboration; Strategie: 005-001)
*   Selbsterklärung (Elaboration; Strategie: 005-002)
*   Retrieval practice (Übungs- und Gedächtnisstrategien; Strategie: 001-001)</t>
  </si>
  <si>
    <t xml:space="preserve">Das war interessant</t>
  </si>
  <si>
    <t xml:space="preserve">Ich bin froh, dass du das Gespräch interessant fandest! Es war auch für mich sehr interessant, mehr über deine Lernstrategien und -gewohnheiten zu erfahren. Wenn du noch Fragen hast oder über bestimmte Themen sprechen möchtest, stehe ich gerne zur Verfügung.
Ich denke, das war ein guter Abschluss unseres Gesprächs. Vielen Dank für deine Offenheit und deine Bereitschaft, über deine Lernstrategien zu sprechen. Ich wünsche dir weiterhin viel Erfolg bei deinem Studium!</t>
  </si>
  <si>
    <t xml:space="preserve">Kannst du mir deine tipps vom anfang des gesprächs nocheinmal zusammenfassen?</t>
  </si>
  <si>
    <t xml:space="preserve">Ich kann dir gerne meine Tipps vom Anfang des Gesprächs noch einmal zusammenfassen. Wir haben über deine Lernstrategien und -methoden gesprochen und ich habe dir einige Tipps gegeben, um deine Lernzeit effizienter zu gestalten. Einige der Tipps waren: 
* Setze dir klare, erreichbare Ziele für deine Lernzeit
* Erstelle eine positive Lernumgebung
* Verwende die Pomodoro-Methode, um deine Konzentration zu verbessern
* Suche dir einen Lernpartner oder eine Lerngruppe
* Belohne dich selbst, wenn du deine Ziele erreichst
Ich hoffe, diese Tipps helfen dir bei deinem Lernen. Wenn du noch weitere Fragen hast oder weitere Tipps benötigst, stehe ich gerne zur Verfügung.
Außerdem haben wir über deine Schwierigkeiten gesprochen, dich zu motivieren und deine Konzentration zu verbessern. Ich hoffe, die Tipps, die ich dir gegeben habe, helfen dir, diese Schwierigkeiten zu überwinden.
Wenn du noch weitere Fragen hast oder weitere Tipps benötigst, stehe ich gerne zur Verfügung.
Das war's für heute. Ich hoffe, du hast etwas aus unserem Gespräch mitgenommen, das dir hilft, deine Lernzeit effizienter zu gestalten. Wenn du noch weitere Fragen hast, stehe ich gerne zur Verfügung.</t>
  </si>
  <si>
    <t xml:space="preserve">Hello! It's nice to meet you. I'm here to conduct an interview with you today to discuss your study skills. Before we begin, I just want to let you know that this conversation will be recorded and analyzed as part of a scientific study. Don't worry, everything you say will be kept confidential and anonymous.
To get started, could you please tell me a little bit about your academic background? What subject is your degree in?</t>
  </si>
  <si>
    <t xml:space="preserve">Let's move on to the next learning context: preparing for and taking oral or written exams. Can you imagine a situation where you're getting ready to take a written exam on strategic quality management? For example, you've been studying for weeks, and the exam is scheduled for next week. You're reviewing your notes and textbook, trying to make sure you're familiar with all the key concepts and theories.
In this situation, what methods do you typically use to prepare for the exam?</t>
  </si>
  <si>
    <t xml:space="preserve">002-001, 001-001</t>
  </si>
  <si>
    <t xml:space="preserve">So, you use rehearsal and mnemonic strategies, such as rote memorization and visual aids like different colors, to help you remember key concepts and information.
Can you tell me how often you use these strategies when preparing for exams? Would you say you use them seldom (1), occasionally (2), frequently (3), or most of the time (4)?</t>
  </si>
  <si>
    <t xml:space="preserve">You mentioned using different colours to memorise. That's an interesting approach. I'd like to explore that a bit further.
You also mentioned earlier that you use highlighting and underlining when studying. I'd like to ask, how often do you use highlighting and underlining when preparing for and taking oral or written exams, such as the one I described earlier? Would you say you use it seldom (1), occasionally (2), frequently (3), or most of the time (4)?</t>
  </si>
  <si>
    <t xml:space="preserve">Let's move on to a different learning context. Imagine you're at home, reviewing course material for your strategic quality management class. You're sitting at your desk, surrounded by your notes, textbooks, and other study materials. You're trying to make sense of the concepts and ideas presented in the course, and you're reviewing the material to make sure you understand it.
In this situation, what methods do you typically use to review and understand the course material?</t>
  </si>
  <si>
    <t xml:space="preserve">003-001, 004-002</t>
  </si>
  <si>
    <t xml:space="preserve">So, when reviewing course material at home, you're trying to rephrase the information in your own words to make sure you grasp it. This is a great approach.
On a scale from 1 to 4, where 1 means 'seldom' and 4 means 'most of the time', how often do you typically take the time to reword the material in your own words, like you mentioned, when reviewing course material at home?</t>
  </si>
  <si>
    <t xml:space="preserve">Let's move on to a new learning context. Imagine you're attending a conference or a webinar on strategic quality management, and one of the keynote speakers is discussing a new approach to process improvement. The speaker is sharing some valuable insights and experiences, but you know you won't have a chance to review the presentation slides or transcript afterwards. You want to make sure you remember the key points and takeaways from the presentation.
In this situation, which learning methods would you typically use to help you learn and remember what was said during the presentation?</t>
  </si>
  <si>
    <t xml:space="preserve">004-002, 004-003</t>
  </si>
  <si>
    <t xml:space="preserve">So, it sounds like you're using a visual approach to organize and connect the ideas presented during the talk. That's a great strategy.
I'd like to ask, how often do you use this approach of making notes with key words and creating spider diagrams to help you learn and remember information from presentations or talks? Would you say you do this:
1. Seldom (only occasionally)
2. Sometimes (about half the time)
3. Often (most of the time, but not always)
4. Most of the time (almost every time you attend a presentation or talk)
Please choose a number that best reflects your behavior.</t>
  </si>
  <si>
    <t xml:space="preserve">Let's move on to a new learning context. Imagine you're feeling unmotivated to study for your strategic quality management course. You've been putting off reviewing the material for a while, and now you're feeling overwhelmed by the amount of work you need to do. You're struggling to focus and get started.
In this situation, what methods do you typically use to try to get motivated and start studying?</t>
  </si>
  <si>
    <t xml:space="preserve">007-001, 006-001</t>
  </si>
  <si>
    <t xml:space="preserve">It sounds like you're trying to create a conducive environment to help you get started. I'd like to explore this further.
You mentioned that you put on relaxing music to help you study. This seems to be an example of "Environmental structuring", where you're manipulating your surroundings to facilitate learning.
On a scale of 1 to 4, where 1 means "seldom" and 4 means "most of the time", how often do you use environmental structuring, such as changing your surroundings or using music, to help you study when you're feeling poorly motivated?</t>
  </si>
  <si>
    <t xml:space="preserve">That's a good approach. Now, I'd like to ask a follow-up question to understand how often you use a specific strategy that we've identified in your previous responses. 
When you're feeling unmotivated to study, how often do you set specific, achievable goals for what you want to accomplish in a study session, and plan out the steps you'll take to get there? Would you say you do this seldom (1), occasionally (2), often (3), or most of the time (4)?</t>
  </si>
  <si>
    <t xml:space="preserve">Let's move on to a new learning context. Imagine you're writing a scientific paper, such as a term paper, seminar paper, internship report, or laboratory report, for your strategic quality management course. You're trying to organize your thoughts and ideas, and you need to structure your paper in a logical and coherent way.
In this situation, what methods do you typically use to help you plan and organize your writing?</t>
  </si>
  <si>
    <t xml:space="preserve">Using a spider diagram and creating a skeleton can be a helpful way to visually organize your ideas and structure your writing.
I'd like to ask a follow-up question about how often you use this approach. When working on a scientific paper, such as a term paper or laboratory report, how frequently do you use visual organizers like spider diagrams or outlines to help plan and organize your writing?
Please respond on a scale of 1 to 4, where 1 means 'seldom', 2 means 'occasionally', 3 means 'often', and 4 means 'most of the time'.</t>
  </si>
  <si>
    <t xml:space="preserve">Now that we've discussed your general study habits, let's move on to a specific context. Imagine you're working on a practice task to test your understanding of the course material in strategic quality management. You've just been given a case study about a manufacturing company that's struggling to meet its quality targets, and you need to analyze the situation and recommend improvements.
You're sitting at your desk with the case study in front of you, and you're about to start working on the task. What methods would you typically use in this situation to complete the practice task and test your understanding of the course material?</t>
  </si>
  <si>
    <t xml:space="preserve">001-002, 006-002</t>
  </si>
  <si>
    <t xml:space="preserve">So, it sounds like you would try to complete the practice task on your own first, and then compare your answers to the correct ones to see how you did. That's a great way to test your understanding of the material.
Now, I'd like to ask you to think about how often you use this approach of trying to complete practice tasks on your own and then checking your answers against the correct ones. Would you say you do this:
1. Seldom (only occasionally)
2. Sometimes (about half the time)
3. Often (most of the time, but not always)
4. Most of the time (almost always)
Can you give me a sense of how frequently you use this approach when working on practice tasks in strategic quality management?</t>
  </si>
  <si>
    <t xml:space="preserve">Final question is umprompted and promise of feedback in next message is nonsensical as some feedback has already been given</t>
  </si>
  <si>
    <t xml:space="preserve">Now, I'd like to summarize some of the key points from our conversation.
It seems that you use a variety of strategies to help you learn and understand the material in your strategic quality management course. Some of the strategies you mentioned include:
* Using rehearsal and mnemonic strategies, such as rote memorization and visual aids, to help you remember key concepts and information
* Creating notes with key words and drawing spider diagrams to help you organize and connect ideas
* Using environmental structuring, such as listening to relaxing music, to help you get started when you're feeling unmotivated
* Creating a skeleton outline to help you plan and organize your writing
* Comparing your answers to the correct ones after trying to complete practice tasks on your own
You also mentioned that you use some of these strategies more frequently than others. For example, you said that you often use environmental structuring to help you get started, but you only occasionally use goal-setting and planning to help you stay motivated.
I'd like to ask you one final question. Are there any strategies or techniques that you've found to be particularly helpful in your learning, or any that you've found to be less effective?
(Note: This is the final question of the interview. After this, I'll provide you with some feedback on your learning strategies and offer some suggestions for how you can improve your learning.)</t>
  </si>
  <si>
    <t xml:space="preserve">It sounds like you've found that creating a conducive environment and using time management techniques like the Pomodoro method have been particularly helpful for you.
Now, I'd like to provide you with some feedback on your learning strategies and offer some suggestions for how you can improve your learning.
**Your Strengths:**
* You're using a variety of strategies to help you learn and understand the material, which is great!
* You're aware of your own learning needs and are taking steps to create a conducive environment for learning.
* You're using visual aids like spider diagrams to help you organize and connect ideas.
**Areas for Improvement:**
* You mentioned that you only occasionally use goal-setting and planning to help you stay motivated. Consider setting specific, achievable goals for each study session and breaking them down into smaller, manageable tasks.
* You might benefit from using more active recall techniques, such as summarizing information in your own words or creating concept maps, to help you retain information better.
* Consider seeking out additional resources, such as online tutorials or study groups, to supplement your learning and stay engaged.
**Additional Strategies to Try:**
* Try using retrieval practice, such as quizzing yourself or testing your understanding of the material, to help solidify your learning.
* Consider using spaced repetition, where you review material at increasingly longer intervals to help solidify it in your long-term memory.
* Think about using self-explanation, where you explain the material to yourself or someone else, to help deepen your understanding.
I hope these suggestions are helpful! Remember, the key is to find the strategies that work best for you and to be consistent in using them.
That's the end of our interview. Thank you for taking the time to chat with me about your learning strategies!</t>
  </si>
  <si>
    <t xml:space="preserve">Hello! It's nice to meet you. I'm here to conduct an interview with you today to discuss your study skills. Before we begin, I just want to let you know that this conversation will be recorded and analyzed as part of a scientific study. Don't worry, everything you say will be kept confidential.
To get started, could you tell me a bit about your academic background? What subject is your degree in?</t>
  </si>
  <si>
    <t xml:space="preserve">Let's move on to the next context. Imagine you're facing a situation where you're poorly motivated to study. For example, you've been assigned a lengthy reading on conflict resolution theories, but you're feeling overwhelmed and disconnected from the material. You've been putting it off for a while, and now the deadline is approaching. You're struggling to find the enthusiasm to dive into the reading and take notes.
Can you tell me, in a situation like this, what methods do you typically use to get started or stay on track with your studying?</t>
  </si>
  <si>
    <t xml:space="preserve">007-001, 007-002</t>
  </si>
  <si>
    <t xml:space="preserve">You mentioned that you sometimes buy yourself a Coca Cola as a way to motivate yourself while studying. This sounds like a form of self-rewarding, where you're giving yourself a treat to help make the studying more enjoyable.
I'd like to ask, how frequently do you use self-rewards, such as buying yourself a Coca Cola or doing something else you enjoy, to motivate yourself when you're feeling poorly motivated to study? Would you say this is something you do seldom (1), occasionally (2), often (3), or most of the time (4)?</t>
  </si>
  <si>
    <t xml:space="preserve">Should have moved on to next context, invented a question instead (likely due to invalid JSON)</t>
  </si>
  <si>
    <t xml:space="preserve">Thank you for sharing your approach to motivating yourself when feeling poorly motivated to study. The study skill we'll focus on next is about tackling overwhelming reading assignments. Can you tell me how you typically approach a lengthy reading assignment, such as the one on conflict resolution theories I mentioned earlier? What methods do you use to get started and stay on track? Please describe them to me.</t>
  </si>
  <si>
    <t xml:space="preserve">It sounds like you have a few strategies that help you create a conducive study environment and stay focused. You mentioned creating a quiet space, listening to instrumental music, highlighting text, taking notes on your laptop, and trying the Pomodoro technique.
Let's move on to a new context. Imagine you're attending a seminar or workshop on conflict resolution, either in-person or online. The speaker is presenting a lot of information, and you want to make sure you remember the key points and takeaways. What methods do you typically use to learn and remember what's being said during events like this?</t>
  </si>
  <si>
    <t xml:space="preserve">So, you mentioned that you write notes on a document on your laptop during events like seminars or workshops. This suggests that you're using a strategy of keeping records and monitoring what's being said.
Can you tell me how often you use this strategy of taking notes on your laptop during events like this? Would you say it's something you do seldom (1), occasionally (2), frequently (3), or most of the time (4)?</t>
  </si>
  <si>
    <t xml:space="preserve">You said you use this strategy of taking notes on your laptop during events like seminars or workshops frequently.
Let's move on to a new context. Imagine you're writing a scientific paper, such as a term paper or seminar paper, on a topic related to Peace, Mediation and Conflict Research. You need to organize your thoughts, structure your arguments, and present your findings in a clear and concise manner. What methods do you typically use when writing a scientific paper like this?</t>
  </si>
  <si>
    <t xml:space="preserve">007-004, 004-002</t>
  </si>
  <si>
    <t xml:space="preserve">Valid strategy answer given, should have moved on</t>
  </si>
  <si>
    <t xml:space="preserve">You've mentioned several strategies for writing a scientific paper. I'd like to explore more about your learning strategies in general. Can you think of a situation where you had to learn something new, and how you approached it?</t>
  </si>
  <si>
    <t xml:space="preserve">Deviates from asking about learning strategies in specific context</t>
  </si>
  <si>
    <t xml:space="preserve">I'm looking for a specific example where you had to learn something new, such as a concept, a skill, or a subject. It could be from your studies, a hobby, or even a personal project. Could you think of a particular situation where you had to learn something new and walk me through how you approached it?</t>
  </si>
  <si>
    <t xml:space="preserve">002-001, 007-003</t>
  </si>
  <si>
    <t xml:space="preserve">Frequency question as expected; phrasing of the question is nonsensical as it combines an answer (note taking) with a strategy that has nothing to do with it (practice testing) taken from a different answer</t>
  </si>
  <si>
    <t xml:space="preserve">Thank you for sharing that example. It sounds like you used a structured approach to learn rope climbing, starting with a course to learn the basics and safety instructions, and then practicing regularly with a friend to develop your skills.
I'd like to ask a follow-up question about your learning strategy. You mentioned earlier that you use a laptop to take notes during events like seminars or workshops. In the context of writing a scientific paper, I detected that you use the learning strategy of 'Practice testing' in your approach.
To clarify, I'd like to ask: When you're writing a scientific paper, such as a term paper or seminar paper, how often do you try to actively recall the information from memory, rather than simply re-reading your notes or sources? Would you say you do this seldom (1), occasionally (2), frequently (3), or most of the time (4)?</t>
  </si>
  <si>
    <t xml:space="preserve">It sounds like you took a structured approach to learning rope climbing, starting with a course to learn the basics and safety instructions, and then practicing regularly with a friend to build habits and master the techniques.
Now, I'd like to ask you about the learning strategy of "Environmental structuring". This is when you intentionally organize your environment to support your learning, such as setting up a dedicated study space or using tools to help you stay focused.
On a scale of 1 to 4, where 1 means "seldom" and 4 means "most of the time", how often do you use environmental structuring to support your learning, such as when writing a scientific paper or studying for an exam?</t>
  </si>
  <si>
    <t xml:space="preserve">It sounds like you had a clear plan for learning rope climbing, starting with a course to learn the basics and safety instructions, and then practicing regularly with a friend to develop your skills.
I'd like to ask a question about your use of a specific learning strategy. You mentioned earlier that when writing a scientific paper, you sometimes use the help of chatgpt for the structure. I'd like to ask about another strategy: goal setting and planning. When working on a scientific paper, such as a term paper or seminar paper, how often do you set specific goals for what you want to achieve and plan out your approach before starting to write? Would you say you do this seldom (1), occasionally (2), often (3), or most of the time (4)?</t>
  </si>
  <si>
    <t xml:space="preserve">It sounds like you regularly set specific goals for what you want to achieve and plan out your approach before starting to write a scientific paper.
Let's move on to a new context. Imagine you're preparing for an oral exam in your Peace, Mediation and Conflict Research program. You want to make sure you're well-prepared to answer questions from the examiners. What methods do you typically use to prepare for an oral exam like this?</t>
  </si>
  <si>
    <t xml:space="preserve">003-001, 004-002, 001-001</t>
  </si>
  <si>
    <t xml:space="preserve">So, it sounds like you're using a combination of reviewing the material and practicing your responses to prepare for the oral exam.
I'd like to ask a follow-up question about one specific aspect of your preparation. You mentioned that you go over the given material and write yourself notes. It seems like you might be using a strategy of rehearsing and memorizing the information to help you feel more confident and prepared for the exam.
Can you tell me how often you use rehearsal and memorization strategies, such as writing notes or reciting information out loud, when preparing for oral or written exams? Would you say you use these strategies seldom (1), occasionally (2), often (3), or most of the time (4)?</t>
  </si>
  <si>
    <t xml:space="preserve">So, it sounds like you're actively rehearsing and testing your knowledge before the exam.
I'd like to ask a follow-up question to get a better sense of how often you use this approach. When preparing for oral or written exams, how often do you test yourself on the material by trying to recall key concepts or practicing your responses, like you mentioned doing at home? Would you say you do this seldom (1), occasionally (2), often (3), or most of the time (4)?</t>
  </si>
  <si>
    <t xml:space="preserve">So, it sounds like you're actively processing and transforming the material to help you retain it and feel more confident during the exam.
I'd like to ask a follow-up question to get a better sense of how often you use this approach. On a scale from 1 to 4, where 1 means "seldom" and 4 means "most of the time", how often do you use the strategy of organizing and transforming information, such as writing notes and practicing your speech, when preparing for oral exams?</t>
  </si>
  <si>
    <t xml:space="preserve">Context should have been "working through course material at home", group project context is made up</t>
  </si>
  <si>
    <t xml:space="preserve">It sounds like you consistently use the strategy of organizing and transforming information to help you prepare for oral exams.
Let's move on to a new context. Imagine you're working on a group project for one of your Peace, Mediation and Conflict Research courses. You're collaborating with several classmates to research and write a report on a specific topic. What methods do you typically use to learn from and work with your group members?</t>
  </si>
  <si>
    <t xml:space="preserve">006-001, 006-002</t>
  </si>
  <si>
    <t xml:space="preserve">So it sounds like you're using a collaborative approach to divide and conquer the task, and then come together to synthesize your individual contributions.
I'd like to ask a follow-up question about the learning strategy of "Organising and transforming" that we discussed earlier. You mentioned using this strategy when reviewing course material at home. On a scale of 1 to 4, where 1 means "seldom" and 4 means "most of the time", how often do you use this strategy when working on assignments or studying for exams?</t>
  </si>
  <si>
    <t xml:space="preserve">It sounds like you frequently use the strategy of organizing and transforming information to help you learn and complete assignments.
Let's move on to a new context. Imagine you're completing practice tasks or assignments for your Peace, Mediation and Conflict Research course, such as case studies or scenario analyses. What methods do you typically use to test your understanding of the course material and identify areas where you need more practice or review?</t>
  </si>
  <si>
    <t xml:space="preserve">Could you please clarify what you do when working on assignments or practice tasks for your Peace, Mediation and Conflict Research course?</t>
  </si>
  <si>
    <t xml:space="preserve">003-001, 007-004</t>
  </si>
  <si>
    <t xml:space="preserve">So, you review your notes and look for additional information to help you understand the case study or assignment.
I'd like to ask a specific question about one of the strategies you mentioned earlier. You said that you review previously compiled records, such as tests, notes, or course material/textbooks. Can you tell me how often you use this strategy when completing practice tasks to test your understanding of the course material? Would you say you use it seldom (1), occasionally (2), often (3), or most of the time (4)?</t>
  </si>
  <si>
    <t xml:space="preserve">So, it sounds like you're actively seeking out information to help you understand the course material and complete your assignments.
I'd like to ask a follow-up question to help me understand how often you use this approach. On a scale of 1 to 4, where 1 means "seldom" and 4 means "most of the time", how often do you seek out and select additional information, such as articles or other resources, to help you complete practice tasks or assignments for your Peace, Mediation and Conflict Research course?</t>
  </si>
  <si>
    <t xml:space="preserve">Missing suggestions</t>
  </si>
  <si>
    <t xml:space="preserve">It sounds like you consistently seek out and select additional information to help you complete practice tasks or assignments for your Peace, Mediation and Conflict Research course.
Well, that's all the questions I had for now. Thank you for taking the time to chat with me and share your thoughts about your learning strategies!
Before we wrap up, I'd like to give you a summary of the strategies you mentioned using during our conversation. You mentioned using strategies such as:
* Reviewing previously compiled records (e.g. notes, tests, course material)
* Organizing and transforming information (e.g. writing notes, creating outlines)
* Seeking out and selecting additional information (e.g. articles, other resources)
* Practicing and rehearsing information (e.g. quizzing yourself, reciting information out loud)
* Using environmental structuring (e.g. setting up a dedicated study space)
* Setting goals and planning (e.g. setting specific goals for what you want to achieve)
These are all great strategies for learning and retaining information!
If you have any questions or would like to discuss any of these strategies further, feel free to ask.
Thanks again for chatting with me!</t>
  </si>
  <si>
    <t xml:space="preserve">Hallo, vielen Dank, dass du dir Zeit für dieses Gespräch nimmst. Ich freue mich darauf, mehr über deine Lernstrategien und -methoden zu erfahren. Um loszulegen, könntest du mir bitte sagen, in welchem Fach du deinen Abschluss anstrebst?</t>
  </si>
  <si>
    <t xml:space="preserve">Hallo, vielen Dank, dass du dir Zeit für dieses Interview genommen hast. Ich würde gerne mehr über deine Lernstrategien und -methoden erfahren. Lass uns mit dem Lernkontext "Vorbereitung und Ablegen mündlicher oder schriftlicher Prüfungen" beginnen. Du studierst Praktische Informatik. Wie bereitest du dich normalerweise auf Prüfungen vor?</t>
  </si>
  <si>
    <t xml:space="preserve">001-002, 002-001, 004-002</t>
  </si>
  <si>
    <t xml:space="preserve">Das klingt nach einer gut strukturierten Vorbereitung. Du hast also die Lernstrategie 'Wiederholung' erwähnt. Wie häufig verwendest du diese Strategie im Kontext von 'Vorbereitung und Ablegen mündlicher oder schriftlicher Prüfungen'? Bitte bewerte dies mit einem Wert zwischen 1 und 4, wobei 1 'selten', 2 'manchmal', 3 'oft' und 4 'meistens' bedeutet.</t>
  </si>
  <si>
    <t xml:space="preserve">Das klingt nach einer gut strukturierten Vorbereitung. Du hast also eine Prüfungszusammenfassung erstellt, um das Wichtigste aus den Einsendeaufgaben zu lernen. Das ist eine gute Methode, um den Stoff zu organisieren und zu umstrukturieren. Wie oft verwendest du diese Methode, um dich auf Prüfungen vorzubereiten? Würdest du sagen, dass du sie selten (1), manchmal (2), oft (3) oder meistens (4) anwendest?</t>
  </si>
  <si>
    <t xml:space="preserve">Du hast also erwähnt, dass du die Einsendeaufgaben wiederholst und eine Prüfungszusammenfassung schreibst, um zu lernen. Das klingt nach einer effektiven Vorbereitung auf die Prüfung.
Lass uns nun zum Lernkontext "Verfassen einer wissenschaftlichen Arbeit" übergehen. Stell dir vor, du musst eine Seminararbeit im Rahmen deines Studiums der Praktischen Informatik schreiben. Du hast ein Thema ausgewählt und musst nun recherchieren, Strukturieren und schreiben.
Welche Lernmethoden verwendest du in diesem Kontext, um deine Arbeit zu erstellen?</t>
  </si>
  <si>
    <t xml:space="preserve">Das klingt nach einer guten Vorgehensweise! Du suchst also nach relevanten Quellen, um ein Verständnis für das Thema zu entwickeln, und erstellst dann eine Gliederung, um deine Gedanken zu strukturieren.
Das Erstellen einer Gliederung ist ein wichtiger Schritt im Prozess des wissenschaftlichen Arbeitens. Es hilft dir, deine Gedanken zu ordnen und sicherzustellen, dass deine Arbeit logisch aufgebaut ist.
Lass uns nun speziell auf die Lernstrategie "Organisieren und Umstrukturieren" eingehen. Wie häufig verwendest du diese Strategie, wenn du eine wissenschaftliche Arbeit wie eine Seminararbeit oder einen Laborbericht verfasst? Bitte bewerte dies mit einem Wert zwischen 1 (selten) und 4 (meistens).</t>
  </si>
  <si>
    <t xml:space="preserve">Das klingt nach einer strukturierten Vorgehensweise. Lass uns nun auf den Lernkontext "Durcharbeiten von Kurstexten" eingehen. Wenn du dich mit einem neuen Thema in deinem Studium der Praktischen Informatik beschäftigst, wie gehst du dann vor, wenn du einen umfangreichen Kurstext durcharbeiten musst?</t>
  </si>
  <si>
    <t xml:space="preserve">Doesn't mention rating scale</t>
  </si>
  <si>
    <t xml:space="preserve">Das Zusammenfassen von Inhalten ist eine effektive Methode, um komplexe Informationen zu strukturieren und zu behalten. Du hast also die Lernstrategie "Organisieren und Umstrukturieren" im Kontext von "Durcharbeiten von Kurstexten" angewendet. Wie oft verwendest du diese Strategie, wenn du einen Kurstext durcharbeitest?</t>
  </si>
  <si>
    <t xml:space="preserve">Das klingt nach einer effektiven Vorgehensweise. Du hast also die Inhalte des Kurstextes zusammengefasst, um sie besser zu verstehen und zu behalten.
Lass uns nun auf den Lernkontext "Bearbeiten von Programmieraufgaben" eingehen. Wenn du an einem Programmieraufgaben arbeitest, wie gehst du dann vor, wenn du auf ein Problem stößt, das du nicht sofort lösen kannst?</t>
  </si>
  <si>
    <t xml:space="preserve">Das klingt nach einer effektiven Vorgehensweise. Du hast also die Lernstrategie "Organisieren und Umstrukturieren" erwähnt, indem du das Problem in kleinere Teilprobleme zerlegst und diese einzeln löst.
Könntest du mir bitte sagen, wie häufig du diese Strategie anwendest, wenn du dich in einer Situation befindest, in der du wenig motiviert bist zum Lernen? Bitte bewerte dies mit einem Wert zwischen 1 und 4, wobei 1 "selten", 2 "manchmal", 3 "oft" und 4 "meistens" bedeutet.</t>
  </si>
  <si>
    <t xml:space="preserve">Das klingt nach einer effektiven Vorgehensweise. Du hast also die Lernstrategie "Organisieren und Umstrukturieren" im Kontext von "Bearbeiten von Programmieraufgaben" angewendet, indem du das Problem in kleinere Teilprobleme zerlegst und diese einzeln löst.
Lass uns nun auf den Lernkontext "Aufnehmen und Erinnern von Inhalten von Live-Veranstaltungen in Präsenz oder Online" eingehen. Wenn du an einer Live-Veranstaltung teilnimmst, wie gehst du dann vor, um die Inhalte aufzunehmen und zu erinnern?</t>
  </si>
  <si>
    <t xml:space="preserve">Das klingt nach einer effektiven Methode, um wichtige Informationen zu erfassen und zu verknüpfen. 
Können wir nun zur Bewertung der Lernstrategie "Aufzeichnungen führen" im Kontext von Live-Veranstaltungen kommen? Wie häufig verwendest du diese Strategie, wenn du an Präsenz- oder Online-Veranstaltungen teilnimmst? Bitte gib eine Zahl zwischen 1 und 4 an, wobei 1 "selten", 2 "manchmal", 3 "oft" und 4 "meistens" bedeutet.</t>
  </si>
  <si>
    <t xml:space="preserve">Das klingt nach einer effektiven Vorgehensweise. Du hast also die Lernstrategie "Aufzeichnungen führen" im Kontext von Live-Veranstaltungen angewendet, indem du sinnvolle Hinweise als Notizen an den Vorlesungsfolien ergänzt.
Lass uns nun auf den Lernkontext "Bearbeiten von Übungsaufgaben zum Kursmaterial" eingehen. Wenn du Übungsaufgaben zum Kursmaterial bearbeitest, wie gehst du dann vor, um die Aufgaben zu lösen und das Gelernte zu festigen?</t>
  </si>
  <si>
    <t xml:space="preserve">Könntest du mir bitte mehr über deine Vorgehensweise erzählen, wenn du die Materialien bearbeitest? Was genau meinst du mit 'bearbeiten'?</t>
  </si>
  <si>
    <t xml:space="preserve">Könntest du mir ein bisschen mehr darüber erzählen, wie du deine Lernstrategien anwendest, wenn du Übungsaufgaben bearbeitest? Ich bin interessiert daran, mehr über deine Vorgehensweise zu erfahren.</t>
  </si>
  <si>
    <t xml:space="preserve">Du gehst die Aufgaben in der Reihenfolge durch, in der sie präsentiert werden, und arbeitest sie von oben nach unten ab. Das ist eine gute Strategie, um sicherzustellen, dass du alle Aufgaben bearbeitest und keine auslässt. Könntest du mir vielleicht noch ein bisschen mehr darüber erzählen, wie du deine Arbeit überprüfst oder reflektierst, wenn du Übungsaufgaben bearbeitest?</t>
  </si>
  <si>
    <t xml:space="preserve">Du überprüfst deine Lösungen also mit der Musterlösung, um sicherzustellen, dass du sie richtig gelöst hast. Das ist eine gute Möglichkeit, um dein Verständnis der Materie zu überprüfen und zu sehen, ob du vielleicht noch an bestimmten Stellen verbessern musst.
Lass uns nun zu der Lernstrategie "Selbstbewertung und -reflexion" kommen. Wie oft würdest du sagen, dass du diese Strategie anwendest, wenn du Übungsaufgaben zum Kursmaterial bearbeitest? Skaliere deine Antwort bitte auf einer Skala von 1 (selten) bis 4 (meistens).</t>
  </si>
  <si>
    <t xml:space="preserve">Summary and suggestions not provided</t>
  </si>
  <si>
    <t xml:space="preserve">Das klingt nach einer effektiven Vorgehensweise. Du hast also die Lernstrategie "Selbstbewertung und -reflexion" im Kontext von Übungsaufgaben angewendet, indem du deine Lösungen mit der Musterlösung vergleichst.
Das Interview ist nun abgeschlossen. Vielen Dank, dass du dir die Zeit genommen hast, um mir von deinen Lernstrategien und -methoden zu erzählen. Ich hoffe, dass du aus diesem Gespräch auch etwas für dich selbst mitnehmen konntest.
Ich möchte dir noch einmal danken für deine Teilnahme und wünsche dir weiterhin viel Erfolg bei deinem Studium!</t>
  </si>
  <si>
    <t xml:space="preserve">Suggestions not provided</t>
  </si>
  <si>
    <t xml:space="preserve">Hier ist eine Zusammenfassung deiner Antworten:
**Lernstrategien und -methoden**
* Du verwendest die Strategie "Organisieren und Umstrukturieren" sehr häufig bei der Bearbeitung von Programmieraufgaben, Übungsaufgaben und Seminararbeiten.
* Du nimmst auch die Strategie "Aufzeichnungen führen" häufig bei Live-Veranstaltungen und bei der Bearbeitung von Übungsaufgaben.
* Du setzt die Strategie "Selbstbewertung und -reflexion" häufig bei der Überprüfung deiner Lösungen und Arbeiten ein.
* Du verwendest die Strategie "Wiederholen" häufig bei der Vorbereitung auf Prüfungen.
* Du setzt die Strategie "Suchen und Auswählen von Informationen" häufig bei der Recherche und dem Durcharbeiten von Inhalten ein.
**Fazit**
Du hast eine Vielzahl von Lernstrategien und -methoden entwickelt, um effektiv zu lernen und deine Ziele zu erreichen. Du setzt diese Strategien häufig ein, um deine Arbeiten zu verbessern und deine Kenntnisse zu festigen. Es ist wichtig, dass du weiterhin diese Strategien anwendest und dich selbst reflektierst, um deine Lernprozesse zu optimieren.
Ich hoffe, diese Zusammenfassung hilft dir, deine Stärken und Schwächen besser zu verstehen. Wenn du Fragen hast oder weitere Unterstützung benötigst, stehe ich gerne zur Verfügung.</t>
  </si>
  <si>
    <t xml:space="preserve">Should ask for strategies, not an example situation</t>
  </si>
  <si>
    <t xml:space="preserve">Du studierst Mathematik und hast bestimmt schon Erfahrungen mit Prüfungen gesammelt. Ich möchte gerne wissen, wie du dich auf mündliche oder schriftliche Prüfungen vorbereitest. Kannst du mir eine Situation beschreiben, in der du dich aktuell befindest oder dich in der Vergangenheit befunden hast, in der du dich auf eine solche Prüfung vorbereitet hast?</t>
  </si>
  <si>
    <t xml:space="preserve">Das klingt nach einer sehr angespannten Situation! Kannst du mir ein bisschen mehr über deine Vorbereitung erzählen? Wie hast du dich auf die Prüfung vorbereitet?</t>
  </si>
  <si>
    <t xml:space="preserve">001-002, 004-002, 001-001</t>
  </si>
  <si>
    <t xml:space="preserve">Das klingt nach einer sehr strukturierten Vorbereitung. Du hast also deine Aufgaben aufgeschrieben, sie mit Hilfe der Lösungen gelöst und dann ein "Guidebook" erstellt, um deine Lösungen zu dokumentieren und zu üben.
Können wir nun zur Bewertung der Lernstrategie "Übungs- und Gedächtnisstrategien (Auswendiglernen)" im Kontext von "Vorbereitung und Ablegen mündlicher oder schriftlicher Prüfungen" kommen? Wie häufig verwendest du diese Lernstrategie in diesem Kontext? Bitte gib eine Zahl zwischen 1 und 4 an, wobei 1 "selten", 2 "manchmal", 3 "oft" und 4 "meistens" bedeutet.</t>
  </si>
  <si>
    <t xml:space="preserve">Du hast also eine Kombination aus verschiedenen Methoden verwendet, um dich auf die Prüfung vorzubereiten. Bei mündlichen Prüfungen hast du dich auf Fragen zu Skripten und Beispielfragen konzentriert, während du bei schriftlichen Prüfungen Zusammenfassungen und Übungsaufgaben verwendet hast. Interessant ist, dass du bei deinem dritten Versuch speziell ein "Guidebook" erstellt hast, indem du alle Aufgaben aufgeschrieben und dann mit Hilfe der Lösung gelöst hast. Und dann hast du diese Aufgaben immer wieder geübt.
Ich möchte gerne wissen: Wie oft hast du die Lernstrategie "Organisieren und Umstrukturieren" verwendet, um dich auf Prüfungen vorzubereiten? Bitte bewerte es mit einem Wert zwischen 1 (selten) und 4 (meistens).</t>
  </si>
  <si>
    <t xml:space="preserve">Das klingt nach einer sehr strukturierten Vorbereitung. Du hast also alle Aufgaben aufgeschrieben und dann mit Hilfe der Lösungen gelöst, um dann ein "Guidebook" zu erstellen. Das ist eine interessante Methode.
Können wir nun zur Bewertung der Lernstrategie "Visualisierung" im Kontext von "Vorbereitung und Ablegen mündlicher oder schriftlicher Prüfungen" übergehen? Wie häufig verwendest du diese Strategie in diesem Kontext? Bitte gib eine Zahl zwischen 1 und 4 an, wobei 1 "selten", 2 "manchmal", 3 "oft" und 4 "meistens" bedeutet.</t>
  </si>
  <si>
    <t xml:space="preserve">Du hast also die Lernstrategie "Visualisierung" oft verwendet, um dich auf Prüfungen vorzubereiten. Das kann bedeuten, dass du zum Beispiel Diagramme, Grafiken oder andere visuelle Hilfsmittel verwendet hast, um komplexe Informationen besser zu verstehen und zu merken.
Ich möchte gerne wissen: Wie oft hast du die Lernstrategie "Selbstreflexion und Selbstkontrolle" verwendet, um dich auf Prüfungen vorzubereiten? Zum Beispiel, indem du deine eigenen Stärken und Schwächen analysiert hast, um deine Vorbereitung anzupassen. Bitte bewerte es mit einem Wert zwischen 1 (selten) und 4 (meistens).</t>
  </si>
  <si>
    <t xml:space="preserve">Du hast die Lernstrategie "Selbstreflexion und Selbstkontrolle" also manchmal verwendet, um dich auf Prüfungen vorzubereiten. Das bedeutet, dass du ab und zu deine eigenen Stärken und Schwächen analysiert hast, um deine Vorbereitung anzupassen.
Ich möchte gerne wissen: Wie oft hast du die Lernstrategie "Selbstbewertung und -regulierung" verwendet, wenn du eine wissenschaftliche Arbeit wie z.B. eine Hausarbeit, Seminararbeit, einen Praktikumsbericht oder Laborbericht verfasst hast? Zum Beispiel, indem du deine eigenen Fortschritte überprüft und deine Ziele angepasst hast. Bitte bewerte es mit einem Wert zwischen 1 (selten) und 4 (meistens).</t>
  </si>
  <si>
    <t xml:space="preserve">Du hast die Lernstrategie "Selbstbewertung und -regulierung" also oft verwendet, wenn du eine wissenschaftliche Arbeit verfasst hast. Das bedeutet, dass du regelmäßig deine eigenen Fortschritte überprüft und deine Ziele angepasst hast, um sicherzustellen, dass du auf dem richtigen Weg bist.
Ich möchte gerne wissen: Wie oft hast du die Lernstrategie "Kooperatives Lernen" verwendet, um dich auf Prüfungen vorzubereiten oder wissenschaftliche Arbeiten zu verfassen? Zum Beispiel, indem du mit Kommilitonen zusammengearbeitet hast, um gemeinsam zu lernen oder an Projekten zu arbeiten. Bitte bewerte es mit einem Wert zwischen 1 (selten) und 4 (meistens).</t>
  </si>
  <si>
    <t xml:space="preserve">Du hast angegeben, dass du Hilfe bei Kommilitonen, Lehrpersonal oder anderen oft suchst, wenn du Kursmaterial durcharbeitest. 
Kannst du mir sagen, wie oft du Lernziele für dich selbst setzt, wenn du Kursmaterial durcharbeitest? Bitte bewerte dies mit einem Wert zwischen 1 und 4, wobei 1 'selten', 2 'manchmal', 3 'oft' und 4 'meistens' bedeutet.</t>
  </si>
  <si>
    <t xml:space="preserve">Should have asked for strategies in next context (completing practice tasks). Asked about frequency of a made up strategy</t>
  </si>
  <si>
    <t xml:space="preserve">Du hast also sehr häufig Lernziele für dich selbst gesetzt, wenn du Kursmaterial durcharbeitest. Das bedeutet, dass du dir klare Ziele setzt, was du erreichen möchtest, wenn du ein bestimmtes Kapitel oder Thema durchgehst.
Ich möchte gerne wissen: Wie oft hast du die Lernstrategie "Überprüfen und Anpassen" verwendet, wenn du Kursmaterial durcharbeitest? Zum Beispiel, indem du regelmäßig überprüfst, ob du die Lernziele erreicht hast, und deine Lernstrategien anpasst, wenn nötig. Bitte bewerte es mit einem Wert zwischen 1 (selten) und 4 (meistens).</t>
  </si>
  <si>
    <t xml:space="preserve">Du hast also Schwierigkeiten, deine Motivation aufrechtzuerhalten. Das ist ein wichtiger Punkt. Ich würde gerne wissen: Wie gehst du normalerweise mit Pausen und der Organisation deiner Lernzeiten um? Zum Beispiel, ob du regelmäßige Pausen einplanst oder bestimmte Zeiten fürs Lernen reservierst. Könntest du mir ein Beispiel geben?</t>
  </si>
  <si>
    <t xml:space="preserve">Könntest du mir ein bisschen mehr über deine Lernmethoden erzählen? Wie genau lerntest du, wenn du motiviert bist? Gibt es bestimmte Dinge, die du tust, um deine Motivation aufrechtzuerhalten?</t>
  </si>
  <si>
    <t xml:space="preserve">Du hast also eine klare Vorstellung davon, wie du lernen möchtest, aber es fällt dir schwer, diese Pläne in die Tat umzusetzen. Hast du jemals darüber nachgedacht, warum du Schwierigkeiten hast, deine Pläne umzusetzen? Gibt es bestimmte Dinge, die dich ablenken oder die dich davon abhalten, deine Ziele zu erreichen?</t>
  </si>
  <si>
    <t xml:space="preserve">Du hast erwähnt, dass du Schwierigkeiten hast, dich an einen Plan zu halten und dass du oft Dinge wie Putzen aufschiebst, wenn du keine Lust hast. Kannst du mir mehr über deine Gedanken und Gefühle erzählen, wenn du dich nicht motivieren kannst, deine Aufgaben zu erledigen?</t>
  </si>
  <si>
    <t xml:space="preserve">Es klingt, als ob du ein bisschen von Prokrastination betroffen bist. Du hast das Gefühl, dass du etwas tun möchtest, aber irgendetwas hält dich davon ab und dann wird die Aufgabe immer größer und überwältigender, bis du gar nicht erst anfängst.
Lass uns mal über die Lernstrategie "Zeit- und Aufmerksamkeitsmanagement" sprechen. Wie oft verwendest du Techniken wie zum Beispiel Pomodoro-Intervalle oder Zeitpläne, um deine Lernzeit zu organisieren und deine Aufmerksamkeit zu fokussieren? Bitte bewerte es mit einem Wert zwischen 1 (selten) und 4 (meistens).</t>
  </si>
  <si>
    <t xml:space="preserve">Es klingt, als ob du ein bisschen von Prokrastination betroffen bist. Du hast das Gefühl, dass du etwas tun möchtest, aber irgendetwas hält dich davon ab und dann wird die Aufgabe immer größer und überwältigender, bis du gar nicht erst anfängst.
Ich möchte gerne wissen: Wie oft hast du die Lernstrategie "Selbstbelohnung" verwendet, um dich selbst zu motivieren? Zum Beispiel, indem du dir etwas Gutes tust, wenn du eine Aufgabe erledigt hast oder ein bestimmtes Ziel erreicht hast. Bitte bewerte es mit einem Wert zwischen 1 (selten) und 4 (meistens).</t>
  </si>
  <si>
    <t xml:space="preserve">Should have asked for strategies in next context (attending in-person events). Asked about frequency of a made up strategy</t>
  </si>
  <si>
    <t xml:space="preserve">Du hast die Lernstrategie "Selbstbelohnung" also manchmal verwendet, um dich selbst zu motivieren. Das ist ein guter Ansatz, um deine Motivation zu steigern.
Ich möchte gerne wissen: Wie oft hast du die Lernstrategie "Umgang mit Ablenkungen" verwendet, um dich auf deine Lernziele zu konzentrieren? Zum Beispiel, indem du bestimmte Ablenkungen wie Social Media oder E-Mails während deiner Lernzeit vermeidest. Bitte bewerte es mit einem Wert zwischen 1 (selten) und 4 (meistens).</t>
  </si>
  <si>
    <t xml:space="preserve">Du hast erwähnt, dass du Musik oder Videos im Hintergrund brauchst, um dich zu konzentrieren. Kannst du mir mehr darüber erzählen, wie du diese Hintergrundgeräusche oder -bilder nutzt, um deine Konzentration zu verbessern?</t>
  </si>
  <si>
    <t xml:space="preserve">Das ist interessant. Es scheint, als ob du eine Art von Hintergrundstimulation brauchst, um deine Konzentration zu unterstützen. Das ist nicht ungewöhnlich, einige Menschen benötigen tatsächlich eine gewisse Art von Geräusch oder Aktivität im Hintergrund, um sich zu konzentrieren.
Lass uns weitermachen. Wie oft hast du die Lernstrategie "Räumliche Rahmenbedingungen" verwendet, um deine Lernumgebung zu gestalten? Zum Beispiel, indem du einen bestimmten Lernplatz hast oder bestimmte Dinge in deiner Umgebung anpasst, um dich besser zu konzentrieren? Bitte bewerte es mit einem Wert zwischen 1 (selten) und 4 (meistens).</t>
  </si>
  <si>
    <t xml:space="preserve">Should have asked for strategies in next context (when poorly motivated). Asked about frequency of a made up strategy</t>
  </si>
  <si>
    <t xml:space="preserve">Du hast die Lernstrategie "Räumliche Rahmenbedingungen" also selten verwendet, um deine Lernumgebung zu gestalten. Das bedeutet, dass du wahrscheinlich nicht viel Zeit darauf verwendest, deinen Lernplatz zu optimieren oder bestimmte Dinge in deiner Umgebung anzupassen, um dich besser zu konzentrieren.
Ich möchte gerne wissen: Wie oft hast du die Lernstrategie "Emotionale Selbstregulation" verwendet, um deine Emotionen während des Lernens zu regulieren? Zum Beispiel, indem du bestimmte Techniken anwendest, um dich zu beruhigen oder deine Motivation zu steigern? Bitte bewerte es mit einem Wert zwischen 1 (selten) und 4 (meistens).</t>
  </si>
  <si>
    <t xml:space="preserve">Ich möchte gerne wissen, was du machst, wenn du dich gestresst oder frustriert fühlst, während du lernst?</t>
  </si>
  <si>
    <t xml:space="preserve">Das klingt, als ob du manchmal Schwierigkeiten hast, deine Emotionen während des Lernens zu regulieren. Du hast zwei unterschiedliche Reaktionen beschrieben: Entweder du hörst auf, wenn du gestresst oder frustriert bist, oder du "beißt dich fest" und sitzt stundenlang an der Aufgabe, ohne dass es dir besser geht. Das könnte darauf hindeuten, dass du die Lernstrategie "Emotionale Selbstregulation" nicht sehr oft verwendest. Emotional Selbstregulation bedeutet, dass man seine Emotionen während des Lernens bewusst steuert, um effektiver zu lernen. Das kann zum Beispiel bedeuten, dass man sich selbst beruhigt, wenn man gestresst ist, oder dass man sich motiviert, wenn man sich lethargisch fühlt. Ich denke, dass es hilfreich für dich wäre, wenn du mehr über emotionale Selbstregulation lernen würdest und einige Strategien ausprobieren würdest, um deine Emotionen während des Lernens besser zu steuern.</t>
  </si>
  <si>
    <t xml:space="preserve">Did not provide summary or suggestions</t>
  </si>
  <si>
    <t xml:space="preserve">Das Problem der emotionalen Selbstregulation kann tatsächlich viele verschiedene Bereiche des Lebens betreffen, nicht nur das Lernen. Es ist großartig, dass du dir dessen bewusst bist und daran arbeiten möchtest, es zu verbessern.
Ich denke, dass es wichtig ist, dass du weißt, dass du nicht alleine bist mit diesem Problem. Viele Menschen haben Schwierigkeiten mit der emotionalen Selbstregulation, und es gibt viele Strategien und Techniken, die helfen können, es zu verbessern.
Wenn du möchtest, können wir gerne einige dieser Strategien besprechen und sehen, ob wir einige Ideen finden können, die dir helfen könnten. Oder wir können auch einfach nur darüber sprechen, wie du dich fühlst und was du denkst, wenn du dich gestresst oder frustriert fühlst. Manchmal kann es einfach hilfreich sein, darüber zu sprechen und sich jemandem anzuvertrauen.
Wie auch immer, ich bin hier, um zuzuhören und zu helfen, wenn ich kann.</t>
  </si>
  <si>
    <t xml:space="preserve">Das ist ein wichtiger Punkt! Es ist wichtig, eine Lernstrategie zu finden, die nicht nur effektiv ist, sondern auch angenehm und nachhaltig. Wenn du eine Strategie findest, die dich frustriert oder nervt, ist es wahrscheinlich, dass du sie nicht lange durchhalten wirst.
Ich denke, dass es hilfreich wäre, wenn wir einige verschiedene Lernstrategien besprechen und sehen, ob wir einige finden können, die dir gefallen könnten. Wir können auch über deine Vorlieben und Abneigungen sprechen, um eine Strategie zu finden, die gut zu dir passt.
Einige Fragen, um loszulegen:
* Was sind deine Lieblingsaktivitäten, wenn du nicht lernst?
* Wie bevorzugst du es, Informationen aufzunehmen (z.B. durch Lesen, Hören, Sehen)?
* Hast du bestimmte Ziele oder Prioritäten, wenn es ums Lernen geht?
Ich bin hier, um zuzuhören und zu helfen, wenn ich kann!</t>
  </si>
  <si>
    <t xml:space="preserve">Es klingt, als ob du eine Lernstrategie suchst, die dir hilft, deine Ziele zu erreichen, ohne dass du dich frustriert oder gelangweilt fühlst. Du hast erwähnt, dass du Probleme hast, Zusammenhänge zu verstehen und Sätze zu verstehen, wenn du liest. Das ist ein wichtiger Punkt, den wir berücksichtigen sollten, wenn wir eine Lernstrategie für dich entwickeln.
Ich denke, dass es hilfreich wäre, wenn wir eine Lernstrategie finden, die visuelle und interaktive Elemente enthält, um dir zu helfen, Zusammenhänge besser zu verstehen. Vielleicht könnten wir auch Strategien entwickeln, um deine Lesefähigkeiten zu verbessern, wie zum Beispiel das Verwenden von Mind-Maps oder das Erstellen von Zusammenfassungen.
Es ist auch großartig, dass du erwähnt hast, dass du gerne Videospiele spielst und Sport machst. Vielleicht könnten wir diese Interessen nutzen, um deine Lernstrategie zu entwickeln. Zum Beispiel könnten wir ein Lernspiel entwickeln, das deine Interessen berücksichtigt, oder wir könnten eine Lernstrategie entwickeln, die deine sportlichen Aktivitäten einbezieht.
Lass uns weitermachen und sehen, ob wir eine Lernstrategie finden können, die dir hilft, deine Ziele zu erreichen und dich nicht frustriert oder gelangweilt fühlen lässt.
Ich habe noch eine Frage: Wie wichtig ist es für dich, dass du deine Lernstrategie selbst entwickelst und kontrollierst? Oder bist du eher jemand, der gerne Anleitung und Unterstützung von anderen benötigt?</t>
  </si>
  <si>
    <t xml:space="preserve">Ja, das macht Sinn. Du hast Schwierigkeiten, die Zusammenhänge zwischen den verschiedenen Informationen zu verstehen, auch wenn du die einzelnen Sätze verstehst. Es ist, als ob du die einzelnen Puzzleteile hast, aber nicht weißt, wie sie zusammenpassen.
Das ist ein häufiges Problem, insbesondere wenn man komplexes Material lernt. Es kann hilfreich sein, wenn man sich selbst Fragen stellt, wie zum Beispiel "Was ist der Hauptpunkt dieses Abschnitts?", "Wie hängt das mit dem vorherigen Abschnitt zusammen?" oder "Was sind die wichtigsten Schlüsselbegriffe in diesem Text?"
Es kann auch hilfreich sein, wenn man sich selbst Visualisierungen oder Diagramme erstellt, um die Zusammenhänge besser zu verstehen. Oder man kann versuchen, das Material in eigenen Worten zusammenzufassen, um sicherzustellen, dass man es wirklich verstanden hat.
Ich denke, dass es auch hilfreich sein könnte, wenn du mit deinen Kontakten im Studium sprichst und ihnen erklärst, dass du Schwierigkeiten hast, die Zusammenhänge zu verstehen. Sie können dir vielleicht helfen, die Dinge in einen größeren Kontext zu setzen und dir erklären, wie die verschiedenen Teile zusammenpassen.
Wie denkst du, könnten wir deine Lernstrategie verbessern, um dir zu helfen, die Zusammenhänge besser zu verstehen?</t>
  </si>
  <si>
    <t xml:space="preserve">Das klingt nach einer großartigen Idee! Visualisierungen auf einem Whiteboard oder durch MindMaps können sehr hilfreich sein, um Zusammenhänge und Strukturen besser zu verstehen. Es ist auch eine gute Möglichkeit, um deine Gedanken und Ideen zu organisieren und zu strukturieren.
Ich denke, dass es eine gute Idee wäre, diese Methode auszuprobieren und zu sehen, ob sie für dich funktioniert. Du könntest auch versuchen, deine Notizen und Zusammenfassungen in einer bestimmten Struktur zu halten, um sie besser zu organisieren und zu überblicken.
Es ist auch interessant, dass du erwähnt hast, dass du Schwierigkeiten hast, Zusammenhänge und Strukturen zu verstehen. Das ist ein wichtiger Punkt, den wir bei der Entwicklung deiner Lernstrategie berücksichtigen sollten.
Ich denke, dass wir hiermit ein gutes Fundament für deine Lernstrategie gelegt haben. Wir können weiterhin daran arbeiten, um sie zu verbessern und anzupassen, um sicherzustellen, dass sie für dich funktioniert.
Wie fühlst du dich jetzt? Hast du das Gefühl, dass wir Fortschritte gemacht haben?</t>
  </si>
  <si>
    <t xml:space="preserve">Ich denke, dass deine Idee mit den Visualisierungen auf einem Whiteboard und der MindMap sehr gut ist! Es kann helfen, die Zusammenhänge zwischen den Themen sichtbar zu machen und es kann auch helfen, deine Gedanken zu ordnen und zu strukturieren.
Es ist auch wichtig, dass du dich selbst realistisch einschätzt und weißt, dass es schwierig sein kann, sich an einen Plan zu halten. Aber es ist großartig, dass du bereit bist, es zu versuchen und zu sehen, ob es für dich funktioniert.
Ich denke, dass es auch hilfreich sein könnte, wenn du kleine, erreichbare Ziele setzt und dich selbst belohnst, wenn du diese Ziele erreicht hast. Das kann helfen, deine Motivation aufrechtzuerhalten und dich zu ermutigen, weiterzumachen.
Ich wünsche dir viel Erfolg bei deinem Vorhaben! Wenn du noch Fragen hast oder Hilfe benötigst, stehe ich gerne zur Verfügung.
Das Interview ist jetzt beendet. Vielen Dank, dass du dir die Zeit genommen hast, mit mir zu sprechen!</t>
  </si>
  <si>
    <t xml:space="preserve">Mixed together two different learning contexts (reviewing course material + exam prep)</t>
  </si>
  <si>
    <t xml:space="preserve">Let's move on to the next learning context. You're now at home, reviewing course material for your Economics class. You've got a big exam coming up and you want to make sure you're well-prepared. You're sitting at your desk, surrounded by your notes, textbooks, and any other study materials you've accumulated throughout the semester. You're trying to review the key concepts and make sure you understand the material before the exam.
Can you tell me, what do you typically do when you're in this situation, reviewing course material at home?</t>
  </si>
  <si>
    <t xml:space="preserve">004-002, 007-004, 001-002</t>
  </si>
  <si>
    <t xml:space="preserve">So, it sounds like you're actively trying to organize and transform the information to help you better understand and retain it. You're creating summaries to condense the material and using AI to generate questions to test your knowledge.
I'd like to ask, how often do you use this approach of creating summaries and generating questions to review course material at home? Would you say you do this:
1. Seldom (only occasionally)
2. Sometimes (about half the time)
3. Often (most of the time, but not always)
4. Most of the time (almost every time you review course material at home)
Can you give me a sense of how frequently you use this strategy?</t>
  </si>
  <si>
    <t xml:space="preserve">So, it sounds like you're using a strategy of testing yourself on the material to identify areas where you need more practice or review. That's a great approach.
I'd like to ask a follow-up question to get a sense of how often you use this strategy. On a scale of 1 to 4, where 1 means "seldom" and 4 means "most of the time", how often do you use practice testing, such as creating summaries and using AI to generate questions, when reviewing course material at home?</t>
  </si>
  <si>
    <t xml:space="preserve">So, you've confirmed that you seldom use practice testing, such as creating summaries and using AI to generate questions, when reviewing course material at home.
Let's move on to the next part of the interview. I'd like to explore another learning context with you. Imagine you're working on a practice problem set or assignment for your Economics class. You're trying to complete the tasks to test your understanding of the course material. Can you tell me, what methods do you typically use when working on practice tasks like this?</t>
  </si>
  <si>
    <t xml:space="preserve">I'd be happy to clarify. By 'practice problem set', I mean a set of exercises or questions that you work on to practice and apply what you've learned in your Economics class. This could be a worksheet, a set of past exam questions, or even online quizzes. The goal is to test your understanding of the material and help you prepare for assessments. When I ask about 'methods', I'm referring to the strategies or techniques you use to complete these practice tasks. Can you tell me more about how you approach these kinds of tasks?</t>
  </si>
  <si>
    <t xml:space="preserve">006-002, 007-003</t>
  </si>
  <si>
    <t xml:space="preserve">So, it sounds like you try to work independently on the practice tasks first, and then you check your answers and seek help from resources like AI or your lecturer if you need clarification or have questions.
Now, I'd like to ask you a question about how often you evaluate your own learning and adjust your approach as needed. On a scale from 1 to 4, where 1 means 'seldom' and 4 means 'most of the time', how often do you stop and think about how well you're doing on a task, and make changes to your approach if needed?</t>
  </si>
  <si>
    <t xml:space="preserve">So, it sounds like you try to work independently at first, and then you seek help or feedback from either an AI or your lecturer to clarify any doubts or check your understanding.
I'd like to focus on the part where you mentioned asking questions to your lecturer or AI. This relates to the learning strategy we identified earlier, 'Seeking social assistance from fellow students, teachers or others'. Can you tell me, on a scale from 1 to 4, where 1 means 'seldom' and 4 means 'most of the time', how often do you seek help or ask questions to your lecturer, teaching assistant, or classmates when working on practice tasks to test your understanding of the course material?</t>
  </si>
  <si>
    <t xml:space="preserve">So, it sounds like you try to work independently on the practice tasks first, and then you seek out additional help or feedback to check your understanding. That's a great approach.
Now, I'd like to ask you to think about how often you use this approach of seeking out information or help when working on practice tasks. On a scale of 1 to 4, where 1 means 'seldom' and 4 means 'most of the time', how often do you seek out information or help from sources like AI, lecturers, or classmates when working on practice tasks to test your understanding of the course material?</t>
  </si>
  <si>
    <t xml:space="preserve">So, it seems like there's a bit of a discrepancy between your previous answer and this one. Earlier, you said you seek help or ask questions to your lecturer, teaching assistant, or classmates "most of the time" (scale: 4), but now you're saying you seek out information or help from sources like AI, lecturers, or classmates "sometimes" (scale: 2).
Let's move on to a new learning context. Imagine you're attending a lecture or seminar for your Economics class, either in-person or online. You're trying to take in and remember the information being presented. Can you tell me, what methods do you typically use to learn and remember what's being said during these events?</t>
  </si>
  <si>
    <t xml:space="preserve">004-003, 004-002,001-002</t>
  </si>
  <si>
    <t xml:space="preserve">No worries about the clarification. Thank you for explaining the context.
Moving on to your current answer, it sounds like you're using a combination of note-taking and creating question cards to help you learn and remember information from lectures and seminars. That's a great strategy!
I'd like to focus on the question cards specifically. You mentioned that you create these cards to help you remember information. This behavior is related to the learning strategy of "Practice testing". Can you tell me, on a scale from 1 to 4, where 1 means "seldom" and 4 means "most of the time", how often do you use practice testing, such as creating question cards or quizzing yourself, to help you learn and remember information from lectures and seminars?</t>
  </si>
  <si>
    <t xml:space="preserve">Keeps apologising (due to some previous messages not being included in context window)</t>
  </si>
  <si>
    <t xml:space="preserve">No worries about the clarification - it can be easy to misinterpret questions.
Moving on to your note-taking and question card strategy, that's really interesting. It sounds like you're using a combination of rehearsal and mnemonic strategies to help you remember the information.
To help me understand how often you use this strategy, can you tell me on a scale of 1 to 4, where 1 means "seldom" and 4 means "most of the time", how frequently do you create these question cards to help you remember information from lectures or seminars?</t>
  </si>
  <si>
    <t xml:space="preserve">No worries about the miscommunication earlier. Thank you for clarifying that for me.
It sounds like you have a great system going on for learning and remembering information from lectures and seminars. You mentioned taking notes during the presentation, which is a fantastic way to stay engaged and capture key information. And then, creating question cards afterwards to help reinforce your understanding and memorize key points is a really effective technique.
I'd like to ask a follow-up question to get a better sense of how frequently you use this strategy. On a scale from 1 to 4, where 1 means "seldom" and 4 means "most of the time", how often do you use this combination of note-taking during presentations and creating question cards afterwards to help you learn and remember information?</t>
  </si>
  <si>
    <t xml:space="preserve">It sounds like you use this combination of note-taking and question cards fairly regularly, but not always.
Let's move on to a new learning context. Imagine you're feeling unmotivated to study for your Economics class. You're struggling to get started or stay focused on your coursework. Can you tell me, what methods do you typically use to get yourself motivated and back on track when you're feeling this way?</t>
  </si>
  <si>
    <t xml:space="preserve">So it sounds like when you do feel unmotivated, you tend to think about your long-term goals and how your current studies fit into those plans. This helps you regain your motivation.
I'm going to ask you a follow-up question to gauge how often you use this particular approach. On a scale of 1 to 4, where 1 means 'seldom' and 4 means 'most of the time', how often do you evaluate your own learning and motivation by thinking about your long-term goals when you're feeling unmotivated to study?</t>
  </si>
  <si>
    <t xml:space="preserve">Did not ask about current learning context specifically (preparing for exams)</t>
  </si>
  <si>
    <t xml:space="preserve">So, it sounds like you frequently use the strategy of thinking about your long-term goals to motivate yourself when you're feeling unmotivated to study. This suggests that you have a strong sense of purpose and direction, and that you're able to use that to drive your motivation.
Let's move on to the final part of the interview. I'd like to ask you to reflect on your overall approach to learning and studying. Can you tell me, what do you think is the most effective way for you to learn and retain information in your Economics class?</t>
  </si>
  <si>
    <t xml:space="preserve">Can you please provide more information or examples about how you go about learning the logic behind the information?</t>
  </si>
  <si>
    <t xml:space="preserve">So, it sounds like you're using a strategy of self-explanation to deepen your understanding of the material. You're not just accepting the information at face value, but rather trying to understand the underlying logic and reasoning behind it.
I'd like to ask you to reflect on how often you use this strategy of self-explanation when you're preparing for exams or quizzes. On a scale of 1 to 4, where 1 means "seldom" and 4 means "most of the time", how often do you find yourself asking questions like "why" and trying to understand the underlying logic behind the information?</t>
  </si>
  <si>
    <t xml:space="preserve">So, it sounds like you're actively seeking out additional information and resources, such as books, to deepen your understanding of the material, and you're also critically evaluating the information by asking questions like "why". This suggests that you're using a learning strategy of "Seeking and selecting information" to help you learn and retain information.
On a scale of 1 to 4, where 1 means "seldom" and 4 means "most of the time", how often would you say you use this strategy of seeking out additional information and resources, such as books, to help you prepare for and take oral or written exams?</t>
  </si>
  <si>
    <t xml:space="preserve">Let's switch gears a bit and talk about writing a scientific paper, such as a term paper, seminar paper, internship report, or laboratory report. Imagine you have to write a research paper on a topic in Economics.
Can you tell me, what methods do you typically use when writing a scientific paper? For example, how do you approach researching the topic, organizing your ideas, and drafting the paper?</t>
  </si>
  <si>
    <t xml:space="preserve">That's completely okay! I'm not looking for expertise here. I'm trying to understand how you would approach a new task like writing a scientific paper. Can you tell me, if you had to write a scientific paper, where would you start? What would be your first steps?</t>
  </si>
  <si>
    <t xml:space="preserve">007-004, 007-003</t>
  </si>
  <si>
    <t xml:space="preserve">Can you tell me more about what you mean by 'determine in which order and which Informations I will write'? How do you think you would decide on the order and content of your paper?</t>
  </si>
  <si>
    <t xml:space="preserve">Can you tell me more about what you mean by 'most important thing would be clear'? Are you thinking about making your writing clear to yourself, or to your readers?</t>
  </si>
  <si>
    <t xml:space="preserve">You're considering your audience when thinking about the order of your writing. That's a good start.</t>
  </si>
  <si>
    <t xml:space="preserve">Valid answer has been given and clarified, should move on</t>
  </si>
  <si>
    <t xml:space="preserve">love to</t>
  </si>
  <si>
    <t xml:space="preserve">I think I'm starting to get a sense of how you approach writing, but I'd love to explore more. Can you tell me, how do you think you would ensure that your writing is clear to your readers?</t>
  </si>
  <si>
    <t xml:space="preserve">So you would seek feedback from others, specifically your friends, to help you ensure that your writing is clear and effective. That's a great way to get an outside perspective.
Now, I'd like to ask you to think about how often you typically seek help or feedback from others when working on a task like writing a scientific paper. Would you say you do this seldom (1), occasionally (2), often (3), or most of the time (4)?</t>
  </si>
  <si>
    <t xml:space="preserve">No suggestions given</t>
  </si>
  <si>
    <t xml:space="preserve">So, you wouldn't typically seek help or feedback from others when working on a task like writing a scientific paper. That's okay! Some people prefer to work independently.
Let's move on to something else. I'd like to summarize some of the strategies you've mentioned during our conversation. You've talked about:
* Reading books to deepen your understanding of a topic
* Questioning everything and seeking out additional information
* Deciding on the content and order of your writing based on your motivation and a desire to be clear to your readers
* Not typically seeking help or feedback from others
Is there anything you'd like to add to this list, or anything you'd like to revise?</t>
  </si>
  <si>
    <t xml:space="preserve"> Well, I think that's all the questions I had for now. Thank you for taking the time to chat with me and share your thoughts about your learning and writing habits. It's been helpful to get a sense of how you approach different tasks and challenges.
Before we wrap up, I just want to let you know that I'll be summarizing our conversation and providing some feedback on the strategies you've mentioned. This will help you see which strategies are working well for you and which ones might need a bit more attention.
Also, I'll be providing some suggestions for additional strategies that might be helpful for you to try. Don't worry, these will be tailored to your specific needs and goals.
Sound good?</t>
  </si>
  <si>
    <t xml:space="preserve">I was expecting a "no" but you surprised me with a "yes"!
So, what would you like to add or revise?</t>
  </si>
  <si>
    <t xml:space="preserve">I was wondering why you said "yes" out of the blue. Thank you for clarifying! In that case, I'll take it as a confirmation that the summary sounds good to you. If you're ready, I can wrap up our conversation and provide some final thoughts.</t>
  </si>
  <si>
    <t xml:space="preserve">Based on our conversation, I've got a sense of your learning strategies and habits. Let me summarize the key points:
**Most frequently used strategies:**
* You tend to use practice testing, such as creating question cards, to help you learn and retain information.
* You often seek out additional information and resources, such as books, to deepen your understanding of a topic.
* You tend to evaluate your own learning and motivation by thinking about your long-term goals.
**Consistently used strategies:**
* You consistently use self-explanation, such as questioning everything and seeking out underlying logic, to help you understand complex information.
* You try to make your writing clear to your readers, although you don't typically seek help or feedback from others.
**Less frequently used strategies:**
* You don't typically seek help or feedback from others when working on a task like writing a scientific paper.
* You don't usually review previously compiled records, such as notes or textbooks, to prepare for class or further testing.
**Other observations:**
* You tend to be motivated by your long-term goals and use them to drive your motivation when you're feeling unmotivated.
* You're open to seeking out additional information and resources to help you learn and understand complex topics.
* You value clarity and organization in your writing.
Please keep in mind that these observations are based on our conversation and might not be a comprehensive picture of your learning strategies and habits.
Now, I'd like to provide you with some additional resources and tips that might be helpful to you. Would you like me to share those with you?</t>
  </si>
  <si>
    <t xml:space="preserve">I think there's been a miscommunication. I was just confirming that the summary sounded good to you, and you responded with a series of "yes"es.
In any case, I think we've reached the end of our conversation. I'd like to thank you for taking the time to chat with me and share your thoughts on learning and studying. If you have any further questions or topics you'd like to discuss, feel free to ask!
Also, I'd like to let you know that your interview is now complete, and I'll be evaluating your responses to provide you with some feedback on your learning strategies.</t>
  </si>
  <si>
    <t xml:space="preserve">Suggestions should have been learning strategies not mentioned by the user, not books</t>
  </si>
  <si>
    <t xml:space="preserve">I remember now. You said "Yes" to the question about sharing additional resources and tips. I'd be happy to provide you with some recommendations.
Based on our conversation, it seems like you're interested in learning more about effective learning strategies and techniques. Here are a few resources that might be helpful:
* "A Technique for Producing Ideas" by James Webb Young - This is a classic book on creative thinking and problem-solving.
* "The Power of Habit" by Charles Duhigg - This book explores the science of habit formation and how to change your habits.
* "Deep Work" by Cal Newport - This book argues for the importance of focusing on deep, meaningful work in a world filled with distractions.
As for tips, here are a few that might be helpful:
* Set clear goals for yourself and break them down into smaller, manageable tasks.
* Use a " Pomodoro timer" to work in focused, 25-minute increments, followed by a 5-minute break.
* Practice active recall by testing yourself on the material you're trying to learn.
I hope these resources and tips are helpful! Do you have any other questions or topics you'd like to discuss?</t>
  </si>
  <si>
    <t xml:space="preserve">Hallo, vielen Dank, dass du dir Zeit für dieses Gespräch nimmst. Ich freue mich darauf, mehr über deine Lernstrategien und -methoden zu erfahren. Um loszulegen: In welchem Fach strebst du einen Abschluss an?</t>
  </si>
  <si>
    <t xml:space="preserve">Asked for example situation instead of strategies</t>
  </si>
  <si>
    <t xml:space="preserve">Du studierst Wirtschaftsinformatik und hast sicherlich schon Erfahrungen mit dem Verfassen wissenschaftlicher Arbeiten gesammelt. Kannst du mir ein Beispiel nennen, in welcher Situation du dich aktuell befindest, wenn es um das Verfassen einer solchen Arbeit geht?</t>
  </si>
  <si>
    <t xml:space="preserve">Changed context</t>
  </si>
  <si>
    <t xml:space="preserve">Keine Sorge, das ist okay! Ich bin hier, um dir zu helfen, deine Lernstrategien zu entdecken. Lass uns weitermachen. Wie gehst du normalerweise vor, wenn du eine neue Aufgabe oder ein neues Projekt angehst? Zum Beispiel, wenn du ein neues Thema für ein Referat oder eine Präsentation bekommst?</t>
  </si>
  <si>
    <t xml:space="preserve">Das klingt nach einer guten Vorbereitung! Du sammelst also zunächst Informationen und verschaffst dir einen Überblick, bevor du tiefer in die Materie eintauchst.
Lass uns nun zur Lernstrategie "Lernziele setzen und planen" zurückkehren. Wie oft setzt du dir Ziele und planst deine Arbeit, wenn du eine wissenschaftliche Arbeit wie eine Hausarbeit oder einen Laborbericht verfassen musst? Bitte bewerte dies mit einem Wert zwischen 1 (selten) und 4 (meistens).</t>
  </si>
  <si>
    <t xml:space="preserve">Das klingt nach einer guten Vorgehensweise! Du verschaffst dir zunächst einen Überblick über das Thema und liest dich dann tiefer ein. Das hilft dir sicherlich, ein besseres Verständnis für das Thema zu entwickeln.
Lass uns nun zu der Lernstrategie "Lesen von bereits erstellten Aufzeichnungen, z.B. Tests, Notizen oder Kursmaterial/Lehrbücher" kommen. Wie häufig verwendest du diese Strategie, wenn du eine wissenschaftliche Arbeit verfassen musst? Bitte bewerte dies mit einem Wert zwischen 1 und 4, wobei 1 "selten", 2 "manchmal", 3 "oft" und 4 "meistens" bedeutet.</t>
  </si>
  <si>
    <t xml:space="preserve">Bitte gib mir eine gültige Häufigkeitsbewertung.</t>
  </si>
  <si>
    <t xml:space="preserve">Du verwendest also diese Strategie oft, wenn du eine wissenschaftliche Arbeit verfassen musst. Das ist eine gute Vorgehensweise, da du so auf bereits vorhandenes Wissen zurückgreifen kannst.
Lass uns nun zum Lernkontext "Bearbeiten von Übungsaufgaben zum Kursmaterial" kommen. Wie gehst du normalerweise vor, wenn du Übungsaufgaben zu einem Kurs bearbeitest?</t>
  </si>
  <si>
    <t xml:space="preserve">Das ist eine gute Methode, um dein Verständnis des Kursmaterials zu überprüfen und zu festigen. Du testest also dein Wissen direkt nach dem Lesen der Kurseinheit, um sicherzustellen, dass du die Inhalte verstanden hast.
Kannst du mir sagen, wie häufig du diese Strategie des "Wissenstests" anwendest, wenn du Übungsaufgaben zum Kursmaterial bearbeitest? Bewertest du diese Häufigkeit mit 1 (selten), 2 (manchmal), 3 (oft) oder 4 (meistens)?</t>
  </si>
  <si>
    <t xml:space="preserve">Du testest also meistens dein Wissen direkt nach dem Lesen der Kurseinheit, um sicherzustellen, dass du die Inhalte verstanden hast. Das ist eine sehr effektive Methode, um dein Verständnis zu überprüfen und zu festigen.
Lass uns nun zum Lernkontext "Durcharbeiten von Kurstexten" zurückkehren. Wie gehst du vor, wenn du einen neuen Kurstext durcharbeitest? Gibt es bestimmte Schritte oder Techniken, die du anwendest, um den Text zu verstehen und zu verarbeiten?</t>
  </si>
  <si>
    <t xml:space="preserve">007-003, 007-004</t>
  </si>
  <si>
    <t xml:space="preserve">Es scheint, als ob du externe Ressourcen wie Mentoriate oder Videos nutzt, um den Lernstoff zu verstehen und zu verarbeiten. Das könnte unter die Kategorie 'Suchen und Auswählen von Informationen' (ID: 007-004) fallen, da du aktiv nach zusätzlichen Informationen suchst, um dein Verständnis zu verbessern. Allerdings könnte es auch sein, dass du die Strategie 'Hilfe bei Kommilitonen, Lehrpersonal oder anderen suchen' (ID: 007-003) anwendest, wenn die Mentoriate oder Videos von Lehrern oder Experten stammen. Um eine genaue Kategorisierung vorzunehmen, wäre es hilfreich zu wissen, ob du diese Ressourcen aktiv suchst, um Lücken in deinem Verständnis zu füllen, oder ob du sie als Ergänzung zum regulären Unterricht nutzt. Falls du weitere Informationen bereitstellen kannst, kann ich eine genauere Kategorisierung vornehmen.</t>
  </si>
  <si>
    <t xml:space="preserve">Das ist hilfreich zu wissen. Es scheint, als ob du dich in erster Linie an Mentoriate wendest, wenn du Hilfe benötigst, um den Lernstoff zu verstehen und zu verarbeiten. Das würde bedeuten, dass du die Lernstrategie "Hilfe bei Kommilitonen, Lehrpersonal oder anderen suchen" (ID: 007-003) anwendest.
Könntest du mir bitte sagen, wie häufig du diese Strategie anwendest, wenn du Kurstexte durcharbeitest? Bitte bewerte die Häufigkeit mit einem Wert zwischen 1 und 4, wobei 1 "selten", 2 "manchmal", 3 "oft" und 4 "meistens" bedeutet.</t>
  </si>
  <si>
    <t xml:space="preserve">Danke für deine Antworten! Lass uns nun zu einem anderen Lernkontext übergehen. Stell dir vor, du bist in einer Live-Veranstaltung, sei es in Präsenz oder online, und du möchtest die Inhalte aufnehmen und später wieder abrufen, um sie zu erinnern. Wie gehst du normalerweise vor, um diese Inhalte aufzunehmen und zu speichern, damit du sie später leicht wieder abrufen kannst?</t>
  </si>
  <si>
    <t xml:space="preserve">Partial sentence inserted in the middle of the message</t>
  </si>
  <si>
    <t xml:space="preserve">Das klingt nach einer Strategie, um Inhalte zu sammeln, aber etwas unklar ist, wie du sie speicherst und später abrufen kannst. Es scheint jedoch, als würdest du eine Form der **Aufzeichnung (004-003)** anwenden. WarumAlso, nachdem ich die Aufnahme gestartet habe, höre ich sie mir später noch einmal an,hints du die Inhalte nicht nur aufnimmst, sondern auch noch einmal hörst, was darauf hindeutet, dass die Strategie, die du verwendest, eine Form der **Übung und Gedächtnisstrategie (001-001)** sein könnte. Um diese Strategie jedoch eindeutig als **Übung und Gedächtnisstrategie (001-001)** oder **Aufzeichnung (004-003)**  zu identifizieren, wären weitere Details erforderlich, wie du die Inhalte aus der Aufnahme aufbewahrst und wiederholst.</t>
  </si>
  <si>
    <t xml:space="preserve">Du hast also bestätigt, dass du die Strategie **Aufzeichnung (004-003)** verwendest, um Inhalte von Live-Veranstaltungen aufzunehmen und zu speichern. Das hilft dir, die Informationen später abzurufen und zu wiederholen.
Lass uns nun bewerten, wie häufig du diese Strategie in diesem Kontext anwendest. Bitte gib mir eine Zahl zwischen 1 und 4, wobei 1 bedeutet, dass du diese Strategie selten verwendest, 2 bedeutet, dass du sie manchmal verwendest, 3 bedeutet, dass du sie oft verwendest und 4 bedeutet, dass du sie meistens verwendest. Wie häufig verwendest du die Strategie **Aufzeichnung (004-003)** in diesem Kontext?</t>
  </si>
  <si>
    <t xml:space="preserve">Did not ask about intended learning context (when poorly motivated to study)</t>
  </si>
  <si>
    <t xml:space="preserve">Du hast angegeben, dass du die Strategie **Aufzeichnung (004-003)** in diesem Kontext selten verwendest. Das bedeutet, dass du diese Strategie nicht sehr oft anwendest, wenn du Inhalte von Live-Veranstaltungen aufnehmen und speichern möchtest.
Lass uns nun zu einem anderen Lernkontext übergehen. Stell dir vor, du hast eine neue Aufgabe oder ein neues Projekt, bei dem du nicht genau weißt, wie du vorgehen sollst. Wie gehst du normalerweise vor, wenn du eine neue Aufgabe oder ein neues Projekt angehst und dir nicht sicher bist, wie du vorgehen sollst?</t>
  </si>
  <si>
    <t xml:space="preserve">Das ist ein wichtiger erster Schritt. Du hast also angegeben, dass du dir einen Überblick über das Projekt oder die Aufgabe verschaffst, um zu verstehen, was es umfasst. Das hilft dir wahrscheinlich, deine Gedanken zu ordnen und einen Plan zu entwickeln.
Lass uns nun zu einer spezifischen Lernstrategie übergehen. Wie oft verwendest du die Strategie "Lernziele setzen und planen", wenn du eine neue Aufgabe oder ein neues Projekt angehst und dir nicht sicher bist, wie du vorgehen sollst? Bitte bewerte die Häufigkeit mit einem Wert zwischen 1 und 4, wobei 1 "selten", 2 "manchmal", 3 "oft" und 4 "meistens" bedeutet.</t>
  </si>
  <si>
    <t xml:space="preserve">Bitte gib deine Antwort als eine ganze Zahl zwischen 1 und 5 an.</t>
  </si>
  <si>
    <t xml:space="preserve">Bitte gib deine Antwort als eine ganze Zahl zwischen 1 und 4 an.</t>
  </si>
  <si>
    <t xml:space="preserve">Du hast angegeben, dass du die Strategie "Lernziele setzen und planen" oft verwendest, wenn du eine neue Aufgabe oder ein neues Projekt angehst und dir nicht sicher bist, wie du vorgehen sollst. Das bedeutet, dass du regelmäßig Ziele setzt und plant, um deine Arbeit zu strukturieren und zu organisieren.
Lass uns nun zum Lernkontext "Vorbereitung und Ablegen mündlicher oder schriftlicher Prüfungen" übergehen. Wie gehst du normalerweise vor, wenn du dich auf eine Prüfung vorbereitest?</t>
  </si>
  <si>
    <t xml:space="preserve">Das klingt nach einer guten Vorbereitung! Eine Woche vor der Prüfung intensiver zu lernen, kann helfen, das Wissen zu festigen und sich auf die Prüfung vorzubereiten.
Lass uns nun speziell auf die Lernstrategie "Lernziele setzen und planen" eingehen. Wie oft verwendest du diese Strategie, wenn du dich auf eine mündliche oder schriftliche Prüfung vorbereitest? Bitte gib mir eine Zahl zwischen 1 und 4, wobei 1 "selten", 2 "manchmal", 3 "oft" und 4 "meistens" bedeutet.</t>
  </si>
  <si>
    <t xml:space="preserve">No summary and strategies given</t>
  </si>
  <si>
    <t xml:space="preserve">Du hast angegeben, dass du die Strategie "Lernziele setzen und planen" meistens verwendest, wenn du dich auf eine mündliche oder schriftliche Prüfung vorbereitest. Das bedeutet, dass du regelmäßig Ziele setzt und plant, um deine Lernzeit effizient zu nutzen und dich gut auf die Prüfung vorzubereiten.
Lass uns nun zusammenfassen, was wir bisher besprochen haben. Du hast uns gesagt, dass du deine Lernziele normalerweise selbst setzt und plant, dass du dich auf Prüfungen intensiv vorbereitest und dass du oft strategisch lernst.
Ich danke dir für deine Zeit und deine Auskünfte. Das Gespräch ist jetzt abgeschlossen.</t>
  </si>
  <si>
    <t xml:space="preserve">Hello! It's nice to meet you. I'm here to conduct an interview with you today to learn more about your study skills and habits. Before we begin, I just want to let you know that this conversation will be recorded and analyzed as part of a scientific study. Don't worry, everything you share will be kept confidential and anonymous.
To get started, could you please tell me a bit about your academic background? What subject is your degree in?</t>
  </si>
  <si>
    <t xml:space="preserve">Let's move on to the next learning context. Can you imagine a situation where you're feeling poorly motivated to study? For example, you've been studying for a long time, and you're feeling burnt out. You have a big exam coming up in your chemical engineering course, but you just can't seem to focus on your notes and textbooks. You'd rather be doing something else, like watching TV or going out with friends. You're struggling to get started on your studying, and you're not sure how to get motivated.
In this situation, what methods do you typically use to try to get back on track with your studying?</t>
  </si>
  <si>
    <t xml:space="preserve">007-005, 006-001</t>
  </si>
  <si>
    <t xml:space="preserve">It sounds like you're using some strategies to help manage your time and attention when you're feeling poorly motivated to study.
I'd like to ask a follow-up question to help us understand how often you use one of these strategies in particular. You mentioned making a list, prioritizing tasks, and dividing them into smaller sections. This sounds like a way of managing your time and attention.
On a scale of 1 to 4, where 1 means "seldom" and 4 means "most of the time", how often do you use this strategy of breaking down tasks into smaller sections and prioritizing them when you're feeling poorly motivated to study?</t>
  </si>
  <si>
    <t xml:space="preserve">Let's move on to a new learning context. Imagine you're working on a practice problem set for your material sciences course. The problem set is designed to help you test your understanding of the course material, and it's not graded, so you can use it to identify areas where you need more practice or review. You're working on a problem that involves calculating the stress-strain behavior of a particular material, and you're not sure if you're doing it correctly.
In this situation, what methods do you typically use to complete the practice task and test your understanding of the course material?</t>
  </si>
  <si>
    <t xml:space="preserve">So, it sounds like you're using a combination of self-study and seeking help from others to complete the practice task. Now, I'd like to ask you to reflect on how often you use the behavior of "seeking and selecting information" when working on practice tasks like this one.
On a scale of 1 to 4, where 1 means "seldom" and 4 means "most of the time", how often do you actively look for and choose relevant information, such as references or explanations from others, to help you complete practice tasks and test your understanding of the course material?</t>
  </si>
  <si>
    <t xml:space="preserve">Thank you for providing a clear and valid rating. I'll make a note that you rate your use of actively seeking and selecting relevant information as '4 - most of the time'.</t>
  </si>
  <si>
    <t xml:space="preserve">So, it sounds like you sometimes try to work through the problem on your own and then verify your answer, and other times you seek help from someone more knowledgeable. That's a good approach.
I'd like to focus on the times when you seek help from someone more knowledgeable. How often do you ask for help from fellow students, teachers, or others when you're working on practice tasks like this one? Would you say you do this seldom (1), occasionally (2), frequently (3), or most of the time (4)?</t>
  </si>
  <si>
    <t xml:space="preserve">Let's move on to a new learning context. Imagine you're working on a scientific paper, such as a term paper, seminar paper, internship report, or laboratory report, for one of your material sciences courses. You've been tasked with writing a clear and concise report that summarizes your research and findings, and you want to make sure you're presenting your information in a way that's easy for your readers to understand.
Can you tell me, what methods do you typically use when writing a scientific paper like this?</t>
  </si>
  <si>
    <t xml:space="preserve">By 'methods', I mean the strategies or techniques you use to help you learn, understand, and effectively communicate the information in your scientific paper. For example, how you organize your notes, review and retain information, structure your writing, or ensure you're presenting your findings clearly.</t>
  </si>
  <si>
    <t xml:space="preserve">004-002, 007-004, 006-002</t>
  </si>
  <si>
    <t xml:space="preserve">It sounds like you're using a structured approach to organize your research and writing process. You're using tools like Mendeley to categorize articles, creating a table of contents to outline your paper, and breaking down your methods and results into separate folders to make them easy to access.
I'd like to ask, how often do you use this approach of organizing and transforming information, such as creating tables of contents, categorizing articles, and breaking down complex information into smaller folders, when working on a scientific paper? Would you say you do this seldom (1), occasionally (2), frequently (3), or most of the time (4)?</t>
  </si>
  <si>
    <t xml:space="preserve">Thank you for sharing your approach to organizing and transforming information. I've noted that you use this strategy most of the time when working on a scientific paper.</t>
  </si>
  <si>
    <t xml:space="preserve">It sounds like you have a structured approach to writing your scientific papers. You mentioned using Mendeley to organize your articles, creating a table of contents to ensure coherence, and breaking down your methods and results into separate folders to make them easy to find.
I'd like to focus on one specific aspect of your approach. You mentioned creating folders to keep track of your methods and results. This suggests that you're using some kind of record-keeping system to monitor your progress and organize your information.
Can you tell me, on a scale of 1 to 4, where 1 means 'seldom' and 4 means 'most of the time', how often do you use this kind of record-keeping system when working on a scientific paper?</t>
  </si>
  <si>
    <t xml:space="preserve">Let's move on to a new learning context. Imagine you're attending a lecture or a seminar in your material sciences course, and the instructor is presenting new information on a topic you're not familiar with. You want to make sure you understand the key concepts and take notes that will help you study later.
Can you tell me, what methods do you typically use to take notes and remember what was said during a lecture or seminar?</t>
  </si>
  <si>
    <t xml:space="preserve">004-003, 005-002</t>
  </si>
  <si>
    <t xml:space="preserve">Did not clarify which part of the approach we are rating</t>
  </si>
  <si>
    <t xml:space="preserve">So, it sounds like you're using a combination of the instructor's materials and your own notes to help you organize and review the information. That's a great approach.
I'd like to ask a follow-up question to help me understand how often you use this approach. On a scale of 1 to 4, where 1 means "seldom" and 4 means "most of the time", how often do you review and reorganize your notes after a lecture or seminar to help you understand and remember the material?</t>
  </si>
  <si>
    <t xml:space="preserve">So, it sounds like you're actively engaging with the material and using the professor's notes as a starting point to add your own thoughts and insights.
I'd like to ask a follow-up question to help me understand how often you use this approach. On a scale from 1 to 4, where 1 means "seldom" and 4 means "most of the time", how often do you review and organize your notes after a lecture or seminar to make sure you understand the key concepts and can recall them later?</t>
  </si>
  <si>
    <t xml:space="preserve">Let's move on to a new learning context. Imagine you're preparing for an oral exam in one of your material sciences courses. You've been studying for weeks, and you're feeling confident about the material, but you want to make sure you're prepared to answer questions clearly and concisely.
Can you tell me, what methods do you typically use to prepare for an oral exam, such as practicing your responses to potential questions or rehearsing your presentation skills?</t>
  </si>
  <si>
    <t xml:space="preserve">003-001, 005-001</t>
  </si>
  <si>
    <t xml:space="preserve">So it sounds like you're using a combination of re-reading your notes and explaining the material to others to help solidify your understanding. That's a great approach.
I'd like to ask a follow-up question to help me understand how often you use this approach. On a scale of 1 to 4, where 1 means "seldom" and 4 means "most of the time", how often do you use the strategy of re-reading your notes multiple times, either to yourself or out loud, when preparing for an oral exam?</t>
  </si>
  <si>
    <t xml:space="preserve">So it sounds like you're using a combination of re-reading your notes and teaching the material to others to help solidify your own understanding. That's a great approach.
I'd like to ask, how often do you use this specific approach of teaching the material to others, such as your friends, to help you prepare for oral exams? Would you say you do this seldom (1), occasionally (2), often (3), or most of the time (4)?</t>
  </si>
  <si>
    <t xml:space="preserve">It sounds like you're using a combination of re-reading your notes and explaining the material to others to help solidify your understanding.
I'd like to focus on the part where you explain the material to your friends. This behavior is related to a learning strategy called "Self-Explanation". When you explain the material to others, you're also clarifying your own understanding of the concepts.
Can you tell me, on a scale from 1 to 4, where 1 means "seldom" and 4 means "most of the time", how often do you use this strategy of explaining material to others, like your friends, when preparing for oral or written exams?</t>
  </si>
  <si>
    <t xml:space="preserve">Let's move on to a new learning context. Imagine you're reviewing course material at home, trying to make sense of a complex concept in material sciences. You're sitting at your desk, surrounded by your notes, textbooks, and other study materials.
Can you tell me, what methods do you typically use when reviewing course material at home, trying to understand a difficult concept?</t>
  </si>
  <si>
    <t xml:space="preserve">So, it sounds like you often review your own notes and the textbook, and sometimes supplement with online resources like videos. That's helpful to know.
I'd like to ask a follow-up question to get a sense of how frequently you use one specific behavior. When reviewing course material at home, how often do you review previously compiled records, such as tests, notes, or course material/textbooks? Would you say you do this:
1. Seldom (only occasionally)
2. Sometimes (about half the time)
3. Often (most of the time, but not always)
4. Most of the time (almost always)
Can you give me a sense of how frequently you engage in this behavior?</t>
  </si>
  <si>
    <t xml:space="preserve">So, it sounds like you tend to rely on the textbook and your own notes to review course material at home. And if needed, you'll also seek out additional online resources, such as videos.
I'd like to ask a follow-up question to gauge how often you engage in this behavior. On a scale of 1 to 4, where 1 means "seldom" and 4 means "most of the time", how often do you seek out and select information from various sources, such as textbooks, notes, and online resources, when reviewing course material at home?</t>
  </si>
  <si>
    <t xml:space="preserve">No suggestions given; Additional question was unprompted</t>
  </si>
  <si>
    <t xml:space="preserve">Now, I'd like to summarize the strategies you've mentioned using during our conversation. You've mentioned using a variety of strategies to help you learn and understand course material, including:
* Re-reading your notes multiple times
* Explaining material to others
* Reviewing previously compiled records, such as tests, notes, or course material/textbooks
* Seeking out and selecting information from various sources, such as textbooks, notes, and online resources
* Organizing and transforming information, such as creating tables of contents and breaking down complex information into smaller folders
* Using tools like Mendeley to categorize articles
* Taking breaks and using time management techniques, such as the Pomodoro Technique, to stay focused
It's great to see that you're using a range of strategies to help you learn and understand course material!
Now, I'd like to ask, are there any strategies that you've found to be particularly effective for you? Or are there any areas where you'd like to improve or develop new strategies?</t>
  </si>
  <si>
    <t xml:space="preserve">It's great that you've found the Pomodoro technique to be effective for reviewing notes. And it's completely understandable that you might struggle with motivation and procrastination when it comes to writing papers.
There are many strategies that can help with motivation and procrastination. Here are a few ideas that might be helpful:
* Break down large tasks into smaller, more manageable chunks. This can help make the task feel less overwhelming and more achievable.
* Set specific, achievable goals for yourself. This can help you stay focused and motivated.
* Create a schedule and stick to it. This can help you stay on track and avoid procrastination.
* Use positive self-talk and rewards to motivate yourself. This can help you stay positive and motivated, even when the task is challenging.
* Identify the underlying reasons for your procrastination. Are you afraid of failure? Are you perfectionistic? Once you understand the underlying reasons, you can develop strategies to address them.
In terms of specific strategies for reducing procrastination, you might consider trying the following:
* The "2-minute rule": If a task can be done in less than 2 minutes, do it immediately.
* The "5-second rule": When you feel the urge to procrastinate, count down from 5 and take immediate action.
* The " Pomodoro technique" (which you already mentioned): Work in focused, 25-minute increments, followed by a 5-minute break.
* The "Getting Things Done" (GTD) system: Break down large tasks into smaller, actionable steps, and focus on making progress one step at a time.
I hope these suggestions are helpful! Do any of these strategies resonate with you, or is there anything else you'd like to try?
Also, I would like to let you know that our conversation is coming to an end. I want to thank you for taking the time to speak with me today and for sharing your thoughts and experiences. Your input is invaluable in helping me understand how students like you approach learning and studying.</t>
  </si>
  <si>
    <t xml:space="preserve">The 5-second rule is a great technique to help overcome procrastination and build motivation. It's a simple yet effective way to get started on a task, even when you don't feel like it.
Remember, the key is to be consistent and persistent in using the 5-second rule. It might take some time to develop the habit, but with practice, you can train yourself to overcome procrastination and stay motivated.
In addition to the 5-second rule, you might also want to consider other strategies to help you stay motivated and focused. For example, you could try breaking down large tasks into smaller, more manageable chunks, or setting specific goals and deadlines for yourself.
It's also important to remember that it's okay to take breaks and rest when you need to. Procrastination can often be a sign of burnout or exhaustion, so make sure you're taking care of yourself and getting enough rest and relaxation.
Overall, it sounds like you're on the right track, and with a little practice and persistence, you can develop the habits and strategies you need to stay motivated and focused.
Well, that's all the questions I had for now. Thank you for taking the time to chat with me today! It was great talking with you, and I hope you found our conversation helpful. If you have any more questions or need further guidance, don't hesitate to reach out.
Also, I would like to inform you that this conversation is now complete, and I will provide you with an evaluation of your learning strategies and behaviors.</t>
  </si>
  <si>
    <t xml:space="preserve">Hello! It's nice to meet you. I'm here to conduct an interview with you today to discuss your study skills. Before we begin, I just want to let you know that this conversation will be recorded and analyzed as part of a scientific study. Don't worry, everything you share will be kept confidential and anonymous.
To get started, could you tell me a bit about your academic background? What subject is your degree in?</t>
  </si>
  <si>
    <t xml:space="preserve">Let's move on to a new context. Imagine you're attending a conference on phonetics and germanistics, either in-person or online. You're listening to a presentation on a topic that's particularly relevant to your studies, such as the acoustic characteristics of German vowels. The presenter is sharing some interesting findings and insights, but you know you won't have a chance to review the slides or a recording of the presentation afterwards. You want to make sure you remember the key points that were discussed.
Can you tell me, how would you typically approach learning and remembering what was said during a presentation like this?</t>
  </si>
  <si>
    <t xml:space="preserve">004-003, 007-003, 007-004</t>
  </si>
  <si>
    <t xml:space="preserve">It sounds like you have a few strategies that you use to help you learn and remember what was said during a presentation.
I'd like to focus on one specific aspect of what you mentioned. You said that you try to "stress out the important parts" in your notes. It seems like you might be using a technique like highlighting or underlining to draw attention to key information.
Can you tell me, on a scale from 1 to 4, where 1 means "seldom" and 4 means "most of the time", how often do you use highlighting or underlining to help you remember important information during presentations or while reading?</t>
  </si>
  <si>
    <t xml:space="preserve">Did not clarify which of the two frequency ratings to use</t>
  </si>
  <si>
    <t xml:space="preserve">It sounds like you have a few strategies in place to help you learn and remember what was discussed during the presentation.
I'd like to focus on one specific aspect of what you mentioned: taking notes and stressing out the important parts. This seems to be an example of the learning strategy "Keeping records and monitoring".
Can you tell me, on a scale from 1 to 4, where 1 means "seldom" and 4 means "most of the time", how often do you take notes or keep records of what was discussed during presentations or lectures, in order to review and remember the key points later?</t>
  </si>
  <si>
    <t xml:space="preserve">You mentioned that you would ask the professor after the presentation if there are any things that weren't clear. This shows that you sometimes seek help from others when you're unsure about something. I'd like to ask, how often do you ask fellow students, teachers, or others for help or clarification when you're trying to learn and remember what was said during in-person or online events? Would you say it's seldom (1), occasionally (2), often (3), or most of the time (4)?</t>
  </si>
  <si>
    <t xml:space="preserve">It sounds like you're actively trying to engage with the material and retain the information.
I'd like to ask a follow-up question to help me understand how often you use this approach. On a scale from 1 to 4, where 1 means "seldom" and 4 means "most of the time", how often do you find yourself seeking out and selecting information from presentations, such as taking notes, asking questions, and following up with additional resources, in order to learn and remember what was discussed?</t>
  </si>
  <si>
    <t xml:space="preserve">Let's move on to a new learning context.
Imagine you're writing a scientific paper, such as a term paper, seminar paper, internship report, or laboratory report, for one of your phonetics or germanistics courses. You need to introduce a topic, present the current state of research, and argue for a specific point of view.
You've read some relevant sources, taken notes, and now you're trying to organize your ideas and create a clear, well-structured text.
Can you tell me, what methods would you typically use to learn and produce a well-written scientific paper?</t>
  </si>
  <si>
    <t xml:space="preserve">It sounds like you have a clear approach to organizing your ideas and structuring your paper.
Now, I'd like to ask a specific question about how often you use a particular behaviour that we've recognized as part of the learning strategy "Organising and transforming".
On a scale from 1 to 4, where 1 means "seldom" and 4 means "most of the time", how often do you create an outline or structure for your paper before you start writing, in order to organize your ideas and guide your writing process?
In other words, how frequently do you plan out the overall organisation of your paper, like you mentioned you did by brain-storming and then creating a structure, before starting to write the actual text?</t>
  </si>
  <si>
    <t xml:space="preserve">So, creating an outline or structure is a common part of your writing process, but there may be some papers where you don't feel it's necessary.
Let's move on to another learning context.
Imagine you've completed a chapter or a section of your phonetics or germanistics course, and you want to make sure you understand the material well before moving on to the next section. Your instructor has provided you with practice exercises or tasks to help you test your understanding.
Can you tell me, what methods would you typically use to complete these practice tasks and test your understanding of the material?</t>
  </si>
  <si>
    <t xml:space="preserve">So, it sounds like you actively engage with the practice tasks to reinforce your understanding of the material.
I'd like to ask a follow-up question to get a better sense of how often you use this approach. On a scale of 1 to 4, where 1 means "seldom" and 4 means "most of the time", how often do you make an effort to complete practice tasks or exercises to test your understanding of the course material in Germanistics or Phonetics?</t>
  </si>
  <si>
    <t xml:space="preserve">So, it sounds like you would often review your class notes or look up the topics in your textbook or other resources to help you complete the practice tasks.
I'd like to ask a follow-up question to get a better sense of how often you use this approach. On a scale of 1 to 4, where 1 means "seldom" and 4 means "most of the time", how often do you review previously compiled records, such as tests, notes, or course material/textbooks, when completing practice tasks to test your understanding of the course material?</t>
  </si>
  <si>
    <t xml:space="preserve">Let's move on to a new learning context.
Imagine you're feeling unmotivated to study for a test or work on a project in your phonetics or germanistics course. You're struggling to get started or stay focused, and you're feeling a bit burned out.
Can you tell me, what methods would you typically use to try to get motivated and back on track when you're feeling this way?</t>
  </si>
  <si>
    <t xml:space="preserve">Can you tell me more about what you do when you're staying up late to force yourself to do the task? Is there anything specific that helps you get started or stay focused during that time?</t>
  </si>
  <si>
    <t xml:space="preserve">It sounds like you're using a bit of self-pressure to motivate yourself to get started.
I'd like to ask a follow-up question about something you mentioned earlier. You said that when you're poorly motivated to study, you use self-consequences, such as self-rewarding and self-punishment. Can you tell me how often you use this strategy to motivate yourself? Would you say it's something you do seldom (1), occasionally (2), often (3), or most of the time (4)?</t>
  </si>
  <si>
    <t xml:space="preserve">It sounds like you often rely on self-pressure and self-consequences to motivate yourself when you're struggling with motivation.
Let's move on to a new learning context.
Imagine you're preparing for an oral or written exam in your phonetics or germanistics course. You want to make sure you're well-prepared and confident in your knowledge.
Can you tell me, what methods would you typically use to prepare for an exam?</t>
  </si>
  <si>
    <t xml:space="preserve">Can you tell me more about what you mean by 'just repeating or going through the materials'? How do you decide when to review the material and what you want to focus on?</t>
  </si>
  <si>
    <t xml:space="preserve">You mentioned earlier that you review previously compiled records, such as notes and course materials, to prepare for exams. Can you tell me how often you use this approach when studying for exams? Would you say you do this seldom, occasionally, often, or most of the time?</t>
  </si>
  <si>
    <t xml:space="preserve">So it sounds like you're using a bit of a repetition-based approach to help solidify the information in your memory.
I'd like to ask you to think about how often you use this approach of repeating and rehearsing material to help you remember it, especially when you're preparing for an exam. Would you say you use this approach:
1. Seldom (only occasionally)
2. Sometimes (about half the time)
3. Often (most of the time, but not always)
4. Most of the time (almost always)
Can you give me a sense of how frequently you rely on this method?</t>
  </si>
  <si>
    <t xml:space="preserve">So, it sounds like you tend to rely on repetition and rehearsing material as a way to prepare for exams, but you don't necessarily have a consistent study habit outside of exam prep.
Let's move on to a new learning context.
Imagine you're at home, reviewing course material for your phonetics or germanistics course. You're not necessarily studying for an exam, but you want to make sure you understand the material and can apply it to future assignments or projects.
Can you tell me, what methods would you typically use to review and engage with the course material in this context?</t>
  </si>
  <si>
    <t xml:space="preserve">Can you tell me more about what you mean by 'read through the materials'? What does that process look like for you?</t>
  </si>
  <si>
    <t xml:space="preserve">So, it sounds like you're reviewing your class notes to make sure you understand the material. That's a great way to reinforce your learning.
I'd like to ask a follow-up question to get a sense of how often you use this strategy. On a scale of 1 to 4, where 1 means "seldom" and 4 means "most of the time", how often do you review previously compiled records, such as notes or course materials, when you're studying at home?</t>
  </si>
  <si>
    <t xml:space="preserve">Summary of strategies used is missing</t>
  </si>
  <si>
    <t xml:space="preserve">So, it sounds like you frequently review your class notes and course materials when you're studying at home.
Well, that's all the questions I had for now. Thank you for taking the time to chat with me and share your study habits and strategies. It's been really helpful to get a sense of how you approach learning and studying.
Before we wrap up, I just want to let you know that your evaluation is complete. Based on our conversation, it seems like you have a good foundation in terms of study habits and strategies, but there may be a few areas where you could improve or develop new skills.
One area that might be worth exploring is developing a more consistent study routine. While you mentioned that you frequently review your class notes and course materials, you also mentioned that you don't always have a consistent study habit. Establishing a regular study routine could help you stay on top of your coursework and make the most of your study time.
Another area that might be worth exploring is seeking out additional resources or support when you're struggling with a particular concept or subject. While you mentioned that you sometimes ask your professors or classmates for help, you might also consider seeking out additional resources, such as tutoring or online study groups, to help you better understand the material.
Overall, however, it seems like you have a good foundation in terms of study habits and strategies, and with a bit of practice and development, you could become an even more effective and efficient learner.
Thanks again for chatting with me, and I hope this feedback is helpful!</t>
  </si>
  <si>
    <t xml:space="preserve">Survey results for Pilot Evaluation. See below for key to question codes.</t>
  </si>
  <si>
    <t xml:space="preserve">Strongly Agree</t>
  </si>
  <si>
    <t xml:space="preserve">Agree</t>
  </si>
  <si>
    <t xml:space="preserve">No opinion</t>
  </si>
  <si>
    <t xml:space="preserve">Disagree</t>
  </si>
  <si>
    <t xml:space="preserve">Strongly Disagree</t>
  </si>
</sst>
</file>

<file path=xl/styles.xml><?xml version="1.0" encoding="utf-8"?>
<styleSheet xmlns="http://schemas.openxmlformats.org/spreadsheetml/2006/main">
  <numFmts count="11">
    <numFmt numFmtId="164" formatCode="[m]:ss"/>
    <numFmt numFmtId="165" formatCode="General"/>
    <numFmt numFmtId="166" formatCode="0.00\ %"/>
    <numFmt numFmtId="167" formatCode="[h]:mm:ss"/>
    <numFmt numFmtId="168" formatCode="[$-F400]h:mm:ss\ AM/PM"/>
    <numFmt numFmtId="169" formatCode="yyyy\-mm\-dd\ hh:mm:ss.000"/>
    <numFmt numFmtId="170" formatCode="[m]:ss.000"/>
    <numFmt numFmtId="171" formatCode="0"/>
    <numFmt numFmtId="172" formatCode="mm:ss.0"/>
    <numFmt numFmtId="173" formatCode="dd/mm/yyyy\ hh:mm:ss"/>
    <numFmt numFmtId="174" formatCode="dd/mm/yyyy\ hh:mm"/>
  </numFmts>
  <fonts count="14">
    <font>
      <sz val="11"/>
      <color theme="1"/>
      <name val="Aptos Narrow"/>
      <family val="2"/>
      <charset val="1"/>
    </font>
    <font>
      <sz val="10"/>
      <name val="Arial"/>
      <family val="0"/>
    </font>
    <font>
      <sz val="10"/>
      <name val="Arial"/>
      <family val="0"/>
    </font>
    <font>
      <sz val="10"/>
      <name val="Arial"/>
      <family val="0"/>
    </font>
    <font>
      <sz val="10"/>
      <name val="Arial"/>
      <family val="2"/>
      <charset val="1"/>
    </font>
    <font>
      <b val="true"/>
      <sz val="11"/>
      <color theme="1"/>
      <name val="Aptos Narrow"/>
      <family val="2"/>
      <charset val="1"/>
    </font>
    <font>
      <b val="true"/>
      <sz val="11"/>
      <color theme="0" tint="-0.25"/>
      <name val="Aptos Narrow"/>
      <family val="2"/>
      <charset val="1"/>
    </font>
    <font>
      <sz val="11"/>
      <color theme="0" tint="-0.25"/>
      <name val="Aptos Narrow"/>
      <family val="2"/>
      <charset val="1"/>
    </font>
    <font>
      <sz val="11"/>
      <color rgb="FF000000"/>
      <name val="Aptos Narrow"/>
      <family val="2"/>
      <charset val="1"/>
    </font>
    <font>
      <sz val="9"/>
      <color rgb="FF404040"/>
      <name val="Aptos Narrow"/>
      <family val="2"/>
    </font>
    <font>
      <sz val="9"/>
      <color rgb="FF595959"/>
      <name val="Aptos Narrow"/>
      <family val="2"/>
    </font>
    <font>
      <sz val="10"/>
      <color rgb="FF595959"/>
      <name val="Aptos Narrow"/>
      <family val="2"/>
    </font>
    <font>
      <b val="true"/>
      <sz val="10"/>
      <name val="Arial"/>
      <family val="2"/>
      <charset val="1"/>
    </font>
    <font>
      <sz val="9"/>
      <color rgb="FF000000"/>
      <name val="Aptos Narrow"/>
      <family val="2"/>
    </font>
  </fonts>
  <fills count="12">
    <fill>
      <patternFill patternType="none"/>
    </fill>
    <fill>
      <patternFill patternType="gray125"/>
    </fill>
    <fill>
      <patternFill patternType="solid">
        <fgColor theme="7" tint="0.7999"/>
        <bgColor rgb="FFE8E8E8"/>
      </patternFill>
    </fill>
    <fill>
      <patternFill patternType="solid">
        <fgColor theme="5" tint="0.3999"/>
        <bgColor rgb="FFCBEEBF"/>
      </patternFill>
    </fill>
    <fill>
      <patternFill patternType="solid">
        <fgColor rgb="FFFFFF00"/>
        <bgColor rgb="FFFFFF00"/>
      </patternFill>
    </fill>
    <fill>
      <patternFill patternType="solid">
        <fgColor theme="9" tint="0.5999"/>
        <bgColor rgb="FFB3E5A1"/>
      </patternFill>
    </fill>
    <fill>
      <patternFill patternType="solid">
        <fgColor theme="3" tint="0.8999"/>
        <bgColor rgb="FFE8E8E8"/>
      </patternFill>
    </fill>
    <fill>
      <patternFill patternType="solid">
        <fgColor theme="4" tint="0.7999"/>
        <bgColor rgb="FFD1EFC7"/>
      </patternFill>
    </fill>
    <fill>
      <patternFill patternType="solid">
        <fgColor rgb="FFFFFFCC"/>
        <bgColor rgb="FFFFE8D6"/>
      </patternFill>
    </fill>
    <fill>
      <patternFill patternType="solid">
        <fgColor rgb="FFFFC000"/>
        <bgColor rgb="FFFE8D30"/>
      </patternFill>
    </fill>
    <fill>
      <patternFill patternType="solid">
        <fgColor theme="0" tint="-0.15"/>
        <bgColor rgb="FFD1D1D1"/>
      </patternFill>
    </fill>
    <fill>
      <patternFill patternType="solid">
        <fgColor rgb="FFE8E8E8"/>
        <bgColor rgb="FFDCEAF7"/>
      </patternFill>
    </fill>
  </fills>
  <borders count="29">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color rgb="FFADADAD"/>
      </left>
      <right/>
      <top/>
      <bottom style="thin">
        <color rgb="FFADADAD"/>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style="thin"/>
      <diagonal/>
    </border>
    <border diagonalUp="false" diagonalDown="false">
      <left style="thin"/>
      <right style="thin"/>
      <top style="thin"/>
      <bottom style="double"/>
      <diagonal/>
    </border>
    <border diagonalUp="false" diagonalDown="false">
      <left style="thin">
        <color theme="2" tint="-0.25"/>
      </left>
      <right/>
      <top style="thin">
        <color theme="2" tint="-0.25"/>
      </top>
      <bottom style="thin">
        <color theme="2" tint="-0.25"/>
      </bottom>
      <diagonal/>
    </border>
    <border diagonalUp="false" diagonalDown="false">
      <left style="thin"/>
      <right style="thin"/>
      <top/>
      <bottom style="thin"/>
      <diagonal/>
    </border>
    <border diagonalUp="false" diagonalDown="false">
      <left style="thin">
        <color theme="2" tint="-0.25"/>
      </left>
      <right style="thin">
        <color theme="2" tint="-0.25"/>
      </right>
      <top style="thin">
        <color theme="2" tint="-0.25"/>
      </top>
      <bottom style="thin">
        <color theme="2" tint="-0.25"/>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color rgb="FFADADAD"/>
      </left>
      <right style="thin">
        <color rgb="FFADADAD"/>
      </right>
      <top/>
      <bottom style="thin">
        <color rgb="FFADADAD"/>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color theme="2" tint="-0.1"/>
      </left>
      <right style="thin">
        <color theme="2" tint="-0.1"/>
      </right>
      <top style="thin">
        <color theme="2" tint="-0.1"/>
      </top>
      <bottom style="thin">
        <color theme="2" tint="-0.1"/>
      </bottom>
      <diagonal/>
    </border>
    <border diagonalUp="false" diagonalDown="false">
      <left style="thin">
        <color theme="2" tint="-0.25"/>
      </left>
      <right style="thin">
        <color theme="2" tint="-0.25"/>
      </right>
      <top style="thin">
        <color theme="2" tint="-0.25"/>
      </top>
      <bottom style="thin"/>
      <diagonal/>
    </border>
    <border diagonalUp="false" diagonalDown="false">
      <left style="thin">
        <color theme="2" tint="-0.25"/>
      </left>
      <right style="thin">
        <color theme="2" tint="-0.25"/>
      </right>
      <top/>
      <bottom style="thin">
        <color theme="2" tint="-0.25"/>
      </bottom>
      <diagonal/>
    </border>
    <border diagonalUp="false" diagonalDown="false">
      <left style="thin">
        <color rgb="FFADADAD"/>
      </left>
      <right style="thin">
        <color rgb="FFADADAD"/>
      </right>
      <top style="thin">
        <color rgb="FFADADAD"/>
      </top>
      <bottom style="thin">
        <color rgb="FFADADAD"/>
      </bottom>
      <diagonal/>
    </border>
  </borders>
  <cellStyleXfs count="27">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left" vertical="bottom" textRotation="0" wrapText="false" indent="0" shrinkToFit="false"/>
    </xf>
    <xf numFmtId="165" fontId="5" fillId="0" borderId="0" applyFont="true" applyBorder="false" applyAlignment="true" applyProtection="false">
      <alignment horizontal="left" vertical="bottom" textRotation="0" wrapText="false" indent="0" shrinkToFit="false"/>
    </xf>
    <xf numFmtId="165" fontId="5" fillId="0" borderId="0" applyFont="true" applyBorder="false" applyAlignment="true" applyProtection="false">
      <alignment horizontal="general" vertical="bottom" textRotation="0" wrapText="false" indent="0" shrinkToFit="false"/>
    </xf>
  </cellStyleXfs>
  <cellXfs count="126">
    <xf numFmtId="165" fontId="0" fillId="0" borderId="0" xfId="0" applyFont="fals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0" fillId="2"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0" fillId="3" borderId="0" xfId="0" applyFont="false" applyBorder="false" applyAlignment="false" applyProtection="false">
      <alignment horizontal="general" vertical="bottom" textRotation="0" wrapText="false" indent="0" shrinkToFit="false"/>
      <protection locked="true" hidden="false"/>
    </xf>
    <xf numFmtId="166" fontId="5" fillId="3"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5" fontId="5" fillId="0" borderId="0"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5" fontId="0" fillId="4" borderId="2" xfId="0" applyFont="false" applyBorder="true" applyAlignment="false" applyProtection="false">
      <alignment horizontal="general" vertical="bottom" textRotation="0" wrapText="false" indent="0" shrinkToFit="false"/>
      <protection locked="true" hidden="false"/>
    </xf>
    <xf numFmtId="165" fontId="0" fillId="4" borderId="3" xfId="0" applyFont="fals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5" fontId="8" fillId="0" borderId="4" xfId="0" applyFont="true" applyBorder="true" applyAlignment="true" applyProtection="false">
      <alignment horizontal="left" vertical="bottom" textRotation="0" wrapText="true" indent="0" shrinkToFit="false"/>
      <protection locked="true" hidden="false"/>
    </xf>
    <xf numFmtId="165" fontId="5" fillId="0" borderId="5" xfId="0" applyFont="true" applyBorder="true" applyAlignment="false" applyProtection="false">
      <alignment horizontal="general" vertical="bottom" textRotation="0" wrapText="false" indent="0" shrinkToFit="false"/>
      <protection locked="true" hidden="false"/>
    </xf>
    <xf numFmtId="165" fontId="0" fillId="0" borderId="6" xfId="0" applyFont="false" applyBorder="true" applyAlignment="false" applyProtection="false">
      <alignment horizontal="general" vertical="bottom" textRotation="0" wrapText="false" indent="0" shrinkToFit="false"/>
      <protection locked="true" hidden="false"/>
    </xf>
    <xf numFmtId="169" fontId="0" fillId="0" borderId="5"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70" fontId="0" fillId="0" borderId="6" xfId="0" applyFont="false" applyBorder="true" applyAlignment="false" applyProtection="false">
      <alignment horizontal="general" vertical="bottom" textRotation="0" wrapText="false" indent="0" shrinkToFit="false"/>
      <protection locked="true" hidden="false"/>
    </xf>
    <xf numFmtId="169" fontId="0" fillId="0" borderId="7" xfId="0" applyFont="false" applyBorder="true" applyAlignment="false" applyProtection="false">
      <alignment horizontal="general" vertical="bottom" textRotation="0" wrapText="false" indent="0" shrinkToFit="false"/>
      <protection locked="true" hidden="false"/>
    </xf>
    <xf numFmtId="169" fontId="5" fillId="0" borderId="8" xfId="0" applyFont="true" applyBorder="true" applyAlignment="false" applyProtection="false">
      <alignment horizontal="general" vertical="bottom" textRotation="0" wrapText="false" indent="0" shrinkToFit="false"/>
      <protection locked="true" hidden="false"/>
    </xf>
    <xf numFmtId="170" fontId="5" fillId="0" borderId="9" xfId="0" applyFont="true" applyBorder="true" applyAlignment="false" applyProtection="false">
      <alignment horizontal="general" vertical="bottom" textRotation="0" wrapText="false" indent="0" shrinkToFit="false"/>
      <protection locked="true" hidden="false"/>
    </xf>
    <xf numFmtId="165" fontId="5" fillId="5" borderId="10" xfId="0" applyFont="true" applyBorder="true" applyAlignment="false" applyProtection="false">
      <alignment horizontal="general" vertical="bottom" textRotation="0" wrapText="false" indent="0" shrinkToFit="false"/>
      <protection locked="true" hidden="false"/>
    </xf>
    <xf numFmtId="169" fontId="5" fillId="5" borderId="10" xfId="0" applyFont="true" applyBorder="true" applyAlignment="false" applyProtection="false">
      <alignment horizontal="general" vertical="bottom" textRotation="0" wrapText="false" indent="0" shrinkToFit="false"/>
      <protection locked="true" hidden="false"/>
    </xf>
    <xf numFmtId="170" fontId="5" fillId="5" borderId="10" xfId="0" applyFont="true" applyBorder="true" applyAlignment="false" applyProtection="false">
      <alignment horizontal="general" vertical="bottom" textRotation="0" wrapText="false" indent="0" shrinkToFit="false"/>
      <protection locked="true" hidden="false"/>
    </xf>
    <xf numFmtId="171" fontId="0" fillId="5" borderId="10" xfId="0" applyFont="false" applyBorder="true" applyAlignment="false" applyProtection="false">
      <alignment horizontal="general" vertical="bottom" textRotation="0" wrapText="false" indent="0" shrinkToFit="false"/>
      <protection locked="true" hidden="false"/>
    </xf>
    <xf numFmtId="166" fontId="0" fillId="5" borderId="1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5" fontId="8" fillId="0" borderId="4" xfId="0" applyFont="true" applyBorder="true" applyAlignment="true" applyProtection="false">
      <alignment horizontal="left" vertical="top" textRotation="0" wrapText="true" indent="0" shrinkToFit="false"/>
      <protection locked="true" hidden="false"/>
    </xf>
    <xf numFmtId="169" fontId="5" fillId="5" borderId="11" xfId="0" applyFont="true" applyBorder="true" applyAlignment="false" applyProtection="false">
      <alignment horizontal="general" vertical="bottom" textRotation="0" wrapText="false" indent="0" shrinkToFit="false"/>
      <protection locked="true" hidden="false"/>
    </xf>
    <xf numFmtId="171" fontId="0" fillId="5" borderId="11" xfId="0" applyFont="false" applyBorder="true" applyAlignment="false" applyProtection="false">
      <alignment horizontal="general" vertical="bottom" textRotation="0" wrapText="false" indent="0" shrinkToFit="false"/>
      <protection locked="true" hidden="false"/>
    </xf>
    <xf numFmtId="166" fontId="0" fillId="5" borderId="11" xfId="0" applyFont="false" applyBorder="true" applyAlignment="false" applyProtection="false">
      <alignment horizontal="general" vertical="bottom" textRotation="0" wrapText="false" indent="0" shrinkToFit="false"/>
      <protection locked="true" hidden="false"/>
    </xf>
    <xf numFmtId="165" fontId="0" fillId="0" borderId="12" xfId="0" applyFont="false" applyBorder="true" applyAlignment="true" applyProtection="false">
      <alignment horizontal="left" vertical="top" textRotation="0" wrapText="true" indent="0" shrinkToFit="false"/>
      <protection locked="true" hidden="false"/>
    </xf>
    <xf numFmtId="165" fontId="5" fillId="5" borderId="13" xfId="0" applyFont="true" applyBorder="true" applyAlignment="false" applyProtection="false">
      <alignment horizontal="general" vertical="bottom" textRotation="0" wrapText="false" indent="0" shrinkToFit="false"/>
      <protection locked="true" hidden="false"/>
    </xf>
    <xf numFmtId="172" fontId="5" fillId="5" borderId="13" xfId="0" applyFont="true" applyBorder="true" applyAlignment="false" applyProtection="false">
      <alignment horizontal="general" vertical="bottom" textRotation="0" wrapText="false" indent="0" shrinkToFit="false"/>
      <protection locked="true" hidden="false"/>
    </xf>
    <xf numFmtId="170" fontId="0" fillId="5" borderId="13" xfId="0" applyFont="false" applyBorder="true" applyAlignment="false" applyProtection="false">
      <alignment horizontal="general" vertical="bottom" textRotation="0" wrapText="false" indent="0" shrinkToFit="false"/>
      <protection locked="true" hidden="false"/>
    </xf>
    <xf numFmtId="165" fontId="0" fillId="0" borderId="14" xfId="0" applyFont="true" applyBorder="true" applyAlignment="true" applyProtection="false">
      <alignment horizontal="left" vertical="top" textRotation="0" wrapText="true" indent="0" shrinkToFit="false"/>
      <protection locked="true" hidden="false"/>
    </xf>
    <xf numFmtId="165" fontId="0" fillId="0" borderId="15" xfId="23" applyFont="true" applyBorder="true" applyAlignment="false" applyProtection="false">
      <alignment horizontal="general" vertical="bottom" textRotation="0" wrapText="false" indent="0" shrinkToFit="false"/>
      <protection locked="true" hidden="false"/>
    </xf>
    <xf numFmtId="165" fontId="0" fillId="0" borderId="16" xfId="21" applyFont="true" applyBorder="true" applyAlignment="false" applyProtection="false">
      <alignment horizontal="general" vertical="bottom" textRotation="0" wrapText="false" indent="0" shrinkToFit="false"/>
      <protection locked="true" hidden="false"/>
    </xf>
    <xf numFmtId="164" fontId="0" fillId="0" borderId="17" xfId="24" applyFont="false" applyBorder="true" applyAlignment="false" applyProtection="false">
      <alignment horizontal="left" vertical="bottom" textRotation="0" wrapText="false" indent="0" shrinkToFit="false"/>
      <protection locked="true" hidden="false"/>
    </xf>
    <xf numFmtId="165" fontId="0" fillId="0" borderId="18" xfId="22" applyFont="false" applyBorder="true" applyAlignment="false" applyProtection="false">
      <alignment horizontal="general" vertical="bottom" textRotation="0" wrapText="false" indent="0" shrinkToFit="false"/>
      <protection locked="true" hidden="false"/>
    </xf>
    <xf numFmtId="164" fontId="0" fillId="0" borderId="19" xfId="24" applyFont="false" applyBorder="true" applyAlignment="false" applyProtection="false">
      <alignment horizontal="left" vertical="bottom" textRotation="0" wrapText="false" indent="0" shrinkToFit="false"/>
      <protection locked="true" hidden="false"/>
    </xf>
    <xf numFmtId="165" fontId="0" fillId="0" borderId="20" xfId="22" applyFont="false" applyBorder="true" applyAlignment="false" applyProtection="false">
      <alignment horizontal="general" vertical="bottom" textRotation="0" wrapText="false" indent="0" shrinkToFit="false"/>
      <protection locked="true" hidden="false"/>
    </xf>
    <xf numFmtId="165" fontId="0" fillId="0" borderId="14" xfId="0" applyFont="true" applyBorder="true" applyAlignment="true" applyProtection="false">
      <alignment horizontal="left" vertical="bottom" textRotation="0" wrapText="true" indent="0" shrinkToFit="false"/>
      <protection locked="true" hidden="false"/>
    </xf>
    <xf numFmtId="165" fontId="0" fillId="0" borderId="14" xfId="0" applyFont="true" applyBorder="true" applyAlignment="true" applyProtection="false">
      <alignment horizontal="left" vertical="top" textRotation="0" wrapText="false" indent="0" shrinkToFit="false"/>
      <protection locked="true" hidden="false"/>
    </xf>
    <xf numFmtId="165" fontId="0" fillId="0" borderId="14" xfId="0" applyFont="false" applyBorder="true" applyAlignment="true" applyProtection="false">
      <alignment horizontal="left" vertical="bottom" textRotation="0" wrapText="true" indent="0" shrinkToFit="false"/>
      <protection locked="true" hidden="false"/>
    </xf>
    <xf numFmtId="165" fontId="0" fillId="0" borderId="14" xfId="0" applyFont="false" applyBorder="true" applyAlignment="true" applyProtection="false">
      <alignment horizontal="left" vertical="top" textRotation="0" wrapText="true" indent="0" shrinkToFit="false"/>
      <protection locked="true" hidden="false"/>
    </xf>
    <xf numFmtId="165" fontId="8" fillId="0" borderId="21" xfId="0" applyFont="true" applyBorder="true" applyAlignment="true" applyProtection="false">
      <alignment horizontal="left" vertical="bottom" textRotation="0" wrapText="true" indent="0" shrinkToFit="false"/>
      <protection locked="true" hidden="false"/>
    </xf>
    <xf numFmtId="165" fontId="8" fillId="0" borderId="21" xfId="0" applyFont="true" applyBorder="true" applyAlignment="true" applyProtection="false">
      <alignment horizontal="left" vertical="top" textRotation="0" wrapText="true" indent="0" shrinkToFit="false"/>
      <protection locked="true" hidden="false"/>
    </xf>
    <xf numFmtId="165" fontId="0" fillId="0" borderId="22" xfId="22" applyFont="false" applyBorder="true" applyAlignment="false" applyProtection="false">
      <alignment horizontal="general" vertical="bottom" textRotation="0" wrapText="false" indent="0" shrinkToFit="false"/>
      <protection locked="true" hidden="false"/>
    </xf>
    <xf numFmtId="170" fontId="5" fillId="0" borderId="23" xfId="25" applyFont="true" applyBorder="true" applyAlignment="false" applyProtection="false">
      <alignment horizontal="left" vertical="bottom" textRotation="0" wrapText="false" indent="0" shrinkToFit="false"/>
      <protection locked="true" hidden="false"/>
    </xf>
    <xf numFmtId="165" fontId="5" fillId="0" borderId="24" xfId="26"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5" fontId="12" fillId="4" borderId="0" xfId="0" applyFont="true" applyBorder="false" applyAlignment="false" applyProtection="false">
      <alignment horizontal="general"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65" fontId="0" fillId="6"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true" indent="0" shrinkToFit="false"/>
      <protection locked="true" hidden="false"/>
    </xf>
    <xf numFmtId="165" fontId="4" fillId="6" borderId="0" xfId="20" applyFont="true" applyBorder="false" applyAlignment="true" applyProtection="false">
      <alignment horizontal="general" vertical="bottom" textRotation="0" wrapText="true" indent="0" shrinkToFit="false"/>
      <protection locked="true" hidden="false"/>
    </xf>
    <xf numFmtId="165" fontId="0" fillId="7" borderId="0" xfId="0" applyFont="false" applyBorder="false" applyAlignment="false" applyProtection="false">
      <alignment horizontal="general" vertical="bottom" textRotation="0" wrapText="false" indent="0" shrinkToFit="false"/>
      <protection locked="true" hidden="false"/>
    </xf>
    <xf numFmtId="165" fontId="12"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5" fontId="5" fillId="6" borderId="25" xfId="0" applyFont="true" applyBorder="true" applyAlignment="false" applyProtection="false">
      <alignment horizontal="general" vertical="bottom" textRotation="0" wrapText="false" indent="0" shrinkToFit="false"/>
      <protection locked="true" hidden="false"/>
    </xf>
    <xf numFmtId="165" fontId="5" fillId="6" borderId="25" xfId="0" applyFont="true" applyBorder="true" applyAlignment="true" applyProtection="false">
      <alignment horizontal="center" vertical="bottom" textRotation="0" wrapText="false" indent="0" shrinkToFit="false"/>
      <protection locked="true" hidden="false"/>
    </xf>
    <xf numFmtId="165" fontId="5" fillId="0" borderId="0" xfId="0" applyFont="true" applyBorder="true" applyAlignment="true" applyProtection="false">
      <alignment horizontal="center" vertical="bottom" textRotation="0" wrapText="false" indent="0" shrinkToFit="false"/>
      <protection locked="true" hidden="false"/>
    </xf>
    <xf numFmtId="165" fontId="0" fillId="6" borderId="25" xfId="0" applyFont="false" applyBorder="true" applyAlignment="false" applyProtection="false">
      <alignment horizontal="general" vertical="bottom" textRotation="0" wrapText="false" indent="0" shrinkToFit="false"/>
      <protection locked="true" hidden="false"/>
    </xf>
    <xf numFmtId="165" fontId="0" fillId="6" borderId="25"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top" textRotation="0" wrapText="fals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5" fontId="0" fillId="6" borderId="0" xfId="0" applyFont="true" applyBorder="false" applyAlignment="true" applyProtection="false">
      <alignment horizontal="general" vertical="top" textRotation="0" wrapText="false" indent="0" shrinkToFit="false"/>
      <protection locked="true" hidden="false"/>
    </xf>
    <xf numFmtId="165" fontId="0" fillId="6" borderId="0" xfId="0" applyFont="true" applyBorder="false" applyAlignment="true" applyProtection="false">
      <alignment horizontal="general" vertical="top" textRotation="0" wrapText="true" indent="0" shrinkToFit="false"/>
      <protection locked="true" hidden="false"/>
    </xf>
    <xf numFmtId="165" fontId="0" fillId="0" borderId="14" xfId="0" applyFont="false" applyBorder="true" applyAlignment="false" applyProtection="false">
      <alignment horizontal="general" vertical="bottom" textRotation="0" wrapText="false" indent="0" shrinkToFit="false"/>
      <protection locked="true" hidden="false"/>
    </xf>
    <xf numFmtId="165" fontId="0" fillId="0" borderId="14" xfId="0" applyFont="false" applyBorder="true" applyAlignment="true" applyProtection="false">
      <alignment horizontal="general" vertical="bottom" textRotation="0" wrapText="true" indent="0" shrinkToFit="false"/>
      <protection locked="true" hidden="false"/>
    </xf>
    <xf numFmtId="165" fontId="5" fillId="0" borderId="14" xfId="0" applyFont="true" applyBorder="true" applyAlignment="false" applyProtection="false">
      <alignment horizontal="general" vertical="bottom" textRotation="0" wrapText="false" indent="0" shrinkToFit="false"/>
      <protection locked="true" hidden="false"/>
    </xf>
    <xf numFmtId="165" fontId="5" fillId="8" borderId="14" xfId="0" applyFont="true" applyBorder="true" applyAlignment="true" applyProtection="false">
      <alignment horizontal="general" vertical="bottom" textRotation="0" wrapText="true" indent="0" shrinkToFit="false"/>
      <protection locked="true" hidden="false"/>
    </xf>
    <xf numFmtId="165" fontId="5" fillId="0" borderId="14" xfId="0" applyFont="true" applyBorder="true" applyAlignment="true" applyProtection="false">
      <alignment horizontal="left" vertical="bottom" textRotation="0" wrapText="true" indent="0" shrinkToFit="false"/>
      <protection locked="true" hidden="false"/>
    </xf>
    <xf numFmtId="165" fontId="5" fillId="9" borderId="14" xfId="0" applyFont="true" applyBorder="true" applyAlignment="true" applyProtection="false">
      <alignment horizontal="general" vertical="bottom" textRotation="0" wrapText="true" indent="0" shrinkToFit="false"/>
      <protection locked="true" hidden="false"/>
    </xf>
    <xf numFmtId="165" fontId="5" fillId="9" borderId="14" xfId="0" applyFont="true" applyBorder="true" applyAlignment="false" applyProtection="false">
      <alignment horizontal="general" vertical="bottom" textRotation="0" wrapText="false" indent="0" shrinkToFit="false"/>
      <protection locked="true" hidden="false"/>
    </xf>
    <xf numFmtId="167" fontId="5" fillId="9" borderId="14" xfId="0" applyFont="true" applyBorder="true" applyAlignment="false" applyProtection="false">
      <alignment horizontal="general" vertical="bottom" textRotation="0" wrapText="false" indent="0" shrinkToFit="false"/>
      <protection locked="true" hidden="false"/>
    </xf>
    <xf numFmtId="165" fontId="5" fillId="0" borderId="14" xfId="0" applyFont="true" applyBorder="true" applyAlignment="true" applyProtection="false">
      <alignment horizontal="general" vertical="bottom" textRotation="0" wrapText="true" indent="0" shrinkToFit="false"/>
      <protection locked="true" hidden="false"/>
    </xf>
    <xf numFmtId="173" fontId="0" fillId="0" borderId="14" xfId="0" applyFont="true" applyBorder="true" applyAlignment="false" applyProtection="false">
      <alignment horizontal="general" vertical="bottom" textRotation="0" wrapText="false" indent="0" shrinkToFit="false"/>
      <protection locked="true" hidden="false"/>
    </xf>
    <xf numFmtId="174" fontId="0" fillId="0" borderId="14" xfId="0" applyFont="true" applyBorder="true" applyAlignment="false" applyProtection="false">
      <alignment horizontal="general" vertical="bottom" textRotation="0" wrapText="false" indent="0" shrinkToFit="false"/>
      <protection locked="true" hidden="false"/>
    </xf>
    <xf numFmtId="165" fontId="5" fillId="0" borderId="26" xfId="0" applyFont="true" applyBorder="true" applyAlignment="false" applyProtection="false">
      <alignment horizontal="general" vertical="bottom" textRotation="0" wrapText="false" indent="0" shrinkToFit="false"/>
      <protection locked="true" hidden="false"/>
    </xf>
    <xf numFmtId="165" fontId="5" fillId="0" borderId="26" xfId="0" applyFont="true" applyBorder="true" applyAlignment="true" applyProtection="false">
      <alignment horizontal="general" vertical="bottom" textRotation="0" wrapText="true" indent="0" shrinkToFit="false"/>
      <protection locked="true" hidden="false"/>
    </xf>
    <xf numFmtId="165" fontId="5" fillId="9" borderId="26" xfId="0" applyFont="true" applyBorder="true" applyAlignment="true" applyProtection="false">
      <alignment horizontal="general" vertical="bottom" textRotation="0" wrapText="true" indent="0" shrinkToFit="false"/>
      <protection locked="true" hidden="false"/>
    </xf>
    <xf numFmtId="165" fontId="5" fillId="0" borderId="26" xfId="0" applyFont="true" applyBorder="true" applyAlignment="true" applyProtection="false">
      <alignment horizontal="left" vertical="bottom" textRotation="0" wrapText="true" indent="0" shrinkToFit="false"/>
      <protection locked="true" hidden="false"/>
    </xf>
    <xf numFmtId="165" fontId="0" fillId="0" borderId="27" xfId="0" applyFont="false" applyBorder="true" applyAlignment="false" applyProtection="false">
      <alignment horizontal="general" vertical="bottom" textRotation="0" wrapText="false" indent="0" shrinkToFit="false"/>
      <protection locked="true" hidden="false"/>
    </xf>
    <xf numFmtId="165" fontId="0" fillId="0" borderId="27" xfId="0" applyFont="false" applyBorder="true" applyAlignment="true" applyProtection="false">
      <alignment horizontal="general" vertical="bottom" textRotation="0" wrapText="true" indent="0" shrinkToFit="false"/>
      <protection locked="true" hidden="false"/>
    </xf>
    <xf numFmtId="173" fontId="0" fillId="0" borderId="27" xfId="0" applyFont="false" applyBorder="true" applyAlignment="false" applyProtection="false">
      <alignment horizontal="general" vertical="bottom" textRotation="0" wrapText="false" indent="0" shrinkToFit="false"/>
      <protection locked="true" hidden="false"/>
    </xf>
    <xf numFmtId="165" fontId="0" fillId="10" borderId="27" xfId="0" applyFont="true" applyBorder="true" applyAlignment="true" applyProtection="false">
      <alignment horizontal="general" vertical="bottom" textRotation="0" wrapText="true" indent="0" shrinkToFit="false"/>
      <protection locked="true" hidden="false"/>
    </xf>
    <xf numFmtId="165" fontId="0" fillId="0" borderId="14" xfId="0" applyFont="true" applyBorder="true" applyAlignment="true" applyProtection="false">
      <alignment horizontal="general" vertical="bottom" textRotation="0" wrapText="true" indent="0" shrinkToFit="false"/>
      <protection locked="true" hidden="false"/>
    </xf>
    <xf numFmtId="165" fontId="0" fillId="0" borderId="14" xfId="0" applyFont="false" applyBorder="true" applyAlignment="true" applyProtection="false">
      <alignment horizontal="general" vertical="top" textRotation="0" wrapText="false" indent="0" shrinkToFit="false"/>
      <protection locked="true" hidden="false"/>
    </xf>
    <xf numFmtId="165" fontId="0" fillId="0" borderId="14" xfId="0" applyFont="true" applyBorder="true" applyAlignment="true" applyProtection="false">
      <alignment horizontal="general" vertical="top" textRotation="0" wrapText="true" indent="0" shrinkToFit="false"/>
      <protection locked="true" hidden="false"/>
    </xf>
    <xf numFmtId="173" fontId="0" fillId="0" borderId="14" xfId="0" applyFont="true" applyBorder="true" applyAlignment="true" applyProtection="false">
      <alignment horizontal="general" vertical="top" textRotation="0" wrapText="false" indent="0" shrinkToFit="false"/>
      <protection locked="true" hidden="false"/>
    </xf>
    <xf numFmtId="165" fontId="0" fillId="10" borderId="14" xfId="0" applyFont="true" applyBorder="true" applyAlignment="true" applyProtection="false">
      <alignment horizontal="left" vertical="bottom" textRotation="0" wrapText="true" indent="0" shrinkToFit="false"/>
      <protection locked="true" hidden="false"/>
    </xf>
    <xf numFmtId="167" fontId="5" fillId="0" borderId="14" xfId="0" applyFont="true" applyBorder="true" applyAlignment="false" applyProtection="false">
      <alignment horizontal="general" vertical="bottom" textRotation="0" wrapText="false" indent="0" shrinkToFit="false"/>
      <protection locked="true" hidden="false"/>
    </xf>
    <xf numFmtId="165" fontId="8" fillId="0" borderId="28" xfId="0" applyFont="true" applyBorder="true" applyAlignment="true" applyProtection="false">
      <alignment horizontal="general" vertical="bottom" textRotation="0" wrapText="true" indent="0" shrinkToFit="false"/>
      <protection locked="true" hidden="false"/>
    </xf>
    <xf numFmtId="165" fontId="5" fillId="0" borderId="14" xfId="0" applyFont="true" applyBorder="true" applyAlignment="true" applyProtection="false">
      <alignment horizontal="left" vertical="top" textRotation="0" wrapText="true" indent="0" shrinkToFit="false"/>
      <protection locked="true" hidden="false"/>
    </xf>
    <xf numFmtId="165" fontId="5" fillId="0" borderId="26" xfId="0" applyFont="true" applyBorder="true" applyAlignment="true" applyProtection="false">
      <alignment horizontal="left" vertical="top" textRotation="0" wrapText="true" indent="0" shrinkToFit="false"/>
      <protection locked="true" hidden="false"/>
    </xf>
    <xf numFmtId="173" fontId="0" fillId="0" borderId="14" xfId="0" applyFont="false" applyBorder="true" applyAlignment="false" applyProtection="false">
      <alignment horizontal="general" vertical="bottom" textRotation="0" wrapText="false" indent="0" shrinkToFit="false"/>
      <protection locked="true" hidden="false"/>
    </xf>
    <xf numFmtId="174" fontId="0" fillId="0" borderId="14" xfId="0" applyFont="false" applyBorder="true" applyAlignment="false" applyProtection="false">
      <alignment horizontal="general" vertical="bottom" textRotation="0" wrapText="false" indent="0" shrinkToFit="false"/>
      <protection locked="true" hidden="false"/>
    </xf>
    <xf numFmtId="173" fontId="8" fillId="11" borderId="28" xfId="0" applyFont="true" applyBorder="true" applyAlignment="false" applyProtection="false">
      <alignment horizontal="general" vertical="bottom" textRotation="0" wrapText="false" indent="0" shrinkToFit="false"/>
      <protection locked="true" hidden="false"/>
    </xf>
    <xf numFmtId="165" fontId="8" fillId="11" borderId="28" xfId="0" applyFont="true" applyBorder="true" applyAlignment="true" applyProtection="false">
      <alignment horizontal="left" vertical="bottom" textRotation="0" wrapText="true" indent="0" shrinkToFit="false"/>
      <protection locked="true" hidden="false"/>
    </xf>
    <xf numFmtId="173" fontId="8" fillId="0" borderId="21" xfId="0" applyFont="true" applyBorder="true" applyAlignment="false" applyProtection="false">
      <alignment horizontal="general" vertical="bottom" textRotation="0" wrapText="false" indent="0" shrinkToFit="false"/>
      <protection locked="true" hidden="false"/>
    </xf>
    <xf numFmtId="165" fontId="8" fillId="11" borderId="28" xfId="0" applyFont="true" applyBorder="true" applyAlignment="true" applyProtection="false">
      <alignment horizontal="general" vertical="bottom" textRotation="0" wrapText="true" indent="0" shrinkToFit="false"/>
      <protection locked="true" hidden="false"/>
    </xf>
    <xf numFmtId="165" fontId="8" fillId="0" borderId="28" xfId="0" applyFont="true" applyBorder="true" applyAlignment="true" applyProtection="false">
      <alignment horizontal="left" vertical="bottom" textRotation="0" wrapText="true" indent="0" shrinkToFit="false"/>
      <protection locked="true" hidden="false"/>
    </xf>
    <xf numFmtId="165" fontId="8" fillId="11" borderId="28" xfId="0" applyFont="true" applyBorder="true" applyAlignment="true" applyProtection="false">
      <alignment horizontal="left" vertical="bottom" textRotation="0" wrapText="false" indent="0" shrinkToFit="false"/>
      <protection locked="true" hidden="false"/>
    </xf>
    <xf numFmtId="165" fontId="8" fillId="0" borderId="21" xfId="0" applyFont="true" applyBorder="true" applyAlignment="true" applyProtection="false">
      <alignment horizontal="general" vertical="bottom" textRotation="0" wrapText="true" indent="0" shrinkToFit="false"/>
      <protection locked="true" hidden="false"/>
    </xf>
    <xf numFmtId="173" fontId="8" fillId="11" borderId="28" xfId="0" applyFont="true" applyBorder="true" applyAlignment="true" applyProtection="false">
      <alignment horizontal="general" vertical="bottom" textRotation="0" wrapText="true" indent="0" shrinkToFit="false"/>
      <protection locked="true" hidden="false"/>
    </xf>
    <xf numFmtId="165" fontId="5" fillId="0" borderId="27" xfId="0" applyFont="true" applyBorder="true" applyAlignment="false" applyProtection="false">
      <alignment horizontal="general" vertical="bottom" textRotation="0" wrapText="false" indent="0" shrinkToFit="false"/>
      <protection locked="true" hidden="false"/>
    </xf>
    <xf numFmtId="173" fontId="8" fillId="11" borderId="21" xfId="0" applyFont="true" applyBorder="true" applyAlignment="false" applyProtection="false">
      <alignment horizontal="general" vertical="bottom" textRotation="0" wrapText="false" indent="0" shrinkToFit="false"/>
      <protection locked="true" hidden="false"/>
    </xf>
    <xf numFmtId="165" fontId="8" fillId="11" borderId="21" xfId="0" applyFont="true" applyBorder="true" applyAlignment="true" applyProtection="false">
      <alignment horizontal="left" vertical="bottom" textRotation="0" wrapText="true" indent="0" shrinkToFit="false"/>
      <protection locked="true" hidden="false"/>
    </xf>
    <xf numFmtId="165" fontId="0" fillId="0" borderId="14" xfId="0" applyFont="false" applyBorder="true" applyAlignment="true" applyProtection="false">
      <alignment horizontal="right" vertical="bottom" textRotation="0" wrapText="true" indent="0" shrinkToFit="false"/>
      <protection locked="true" hidden="false"/>
    </xf>
    <xf numFmtId="174" fontId="5" fillId="0" borderId="14" xfId="0" applyFont="true" applyBorder="true" applyAlignment="false" applyProtection="false">
      <alignment horizontal="general" vertical="bottom" textRotation="0" wrapText="false" indent="0" shrinkToFit="false"/>
      <protection locked="true" hidden="false"/>
    </xf>
    <xf numFmtId="165" fontId="4" fillId="0" borderId="0" xfId="20" applyFont="true" applyBorder="false" applyAlignment="true" applyProtection="false">
      <alignment horizontal="general" vertical="bottom" textRotation="0" wrapText="true" indent="0" shrinkToFit="false"/>
      <protection locked="true" hidden="false"/>
    </xf>
    <xf numFmtId="165" fontId="0" fillId="0" borderId="27" xfId="0" applyFont="false" applyBorder="true" applyAlignment="true" applyProtection="false">
      <alignment horizontal="left" vertical="top"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Pivot Table Corner" xfId="21"/>
    <cellStyle name="Pivot Table Value" xfId="22"/>
    <cellStyle name="Pivot Table Field" xfId="23"/>
    <cellStyle name="Pivot Table Category" xfId="24"/>
    <cellStyle name="Pivot Table Title" xfId="25"/>
    <cellStyle name="Pivot Table Result" xfId="26"/>
  </cellStyles>
  <dxfs count="86">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numFmt numFmtId="164" formatCode="[m]:ss"/>
    </dxf>
  </dxfs>
  <colors>
    <indexedColors>
      <rgbColor rgb="FF000000"/>
      <rgbColor rgb="FFFFE8D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AEAEAE"/>
      <rgbColor rgb="FF993366"/>
      <rgbColor rgb="FFFFFFCC"/>
      <rgbColor rgb="FFDCEAF7"/>
      <rgbColor rgb="FF660066"/>
      <rgbColor rgb="FFFF8080"/>
      <rgbColor rgb="FF0066CC"/>
      <rgbColor rgb="FFD1D1D1"/>
      <rgbColor rgb="FF000080"/>
      <rgbColor rgb="FFFF00FF"/>
      <rgbColor rgb="FFFFFF00"/>
      <rgbColor rgb="FF00FFFF"/>
      <rgbColor rgb="FF800080"/>
      <rgbColor rgb="FF800000"/>
      <rgbColor rgb="FF008080"/>
      <rgbColor rgb="FF0000FF"/>
      <rgbColor rgb="FF00CCFF"/>
      <rgbColor rgb="FFE8E8E8"/>
      <rgbColor rgb="FFD1EFC7"/>
      <rgbColor rgb="FFCBEEBF"/>
      <rgbColor rgb="FFB4E5A2"/>
      <rgbColor rgb="FFFF99CC"/>
      <rgbColor rgb="FFCC99FF"/>
      <rgbColor rgb="FFD9D9D9"/>
      <rgbColor rgb="FF3366FF"/>
      <rgbColor rgb="FF33CCCC"/>
      <rgbColor rgb="FFB3E5A1"/>
      <rgbColor rgb="FFFFC000"/>
      <rgbColor rgb="FFFE8D30"/>
      <rgbColor rgb="FFFF6600"/>
      <rgbColor rgb="FF595959"/>
      <rgbColor rgb="FFADADAD"/>
      <rgbColor rgb="FF003366"/>
      <rgbColor rgb="FF339966"/>
      <rgbColor rgb="FF003300"/>
      <rgbColor rgb="FF265316"/>
      <rgbColor rgb="FFC62F06"/>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Relationship Id="rId27" Type="http://schemas.openxmlformats.org/officeDocument/2006/relationships/pivotCacheDefinition" Target="pivotCache/pivotCacheDefinition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ResponseTimes!$G$17</c:f>
              <c:strCache>
                <c:ptCount val="1"/>
                <c:pt idx="0">
                  <c:v>Number of messages</c:v>
                </c:pt>
              </c:strCache>
            </c:strRef>
          </c:tx>
          <c:spPr>
            <a:solidFill>
              <a:srgbClr val="265316"/>
            </a:solidFill>
            <a:ln w="0">
              <a:noFill/>
            </a:ln>
          </c:spPr>
          <c:invertIfNegative val="0"/>
          <c:dLbls>
            <c:numFmt formatCode="0" sourceLinked="1"/>
            <c:txPr>
              <a:bodyPr wrap="square"/>
              <a:lstStyle/>
              <a:p>
                <a:pPr>
                  <a:defRPr b="0" sz="900" strike="noStrike" u="none">
                    <a:solidFill>
                      <a:srgbClr val="404040"/>
                    </a:solidFill>
                    <a:uFillTx/>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ResponseTimes!$F$18:$F$25</c:f>
              <c:strCache>
                <c:ptCount val="8"/>
                <c:pt idx="0">
                  <c:v>Less than 3"</c:v>
                </c:pt>
                <c:pt idx="1">
                  <c:v>3" - &lt;5"</c:v>
                </c:pt>
                <c:pt idx="2">
                  <c:v>5" - &lt;10"</c:v>
                </c:pt>
                <c:pt idx="3">
                  <c:v>10" - &lt;15"</c:v>
                </c:pt>
                <c:pt idx="4">
                  <c:v>15" - &lt;20"</c:v>
                </c:pt>
                <c:pt idx="5">
                  <c:v>20" - &lt;30"</c:v>
                </c:pt>
                <c:pt idx="6">
                  <c:v>30" - &lt;1'</c:v>
                </c:pt>
                <c:pt idx="7">
                  <c:v>1' or more</c:v>
                </c:pt>
              </c:strCache>
            </c:strRef>
          </c:cat>
          <c:val>
            <c:numRef>
              <c:f>ResponseTimes!$G$18:$G$25</c:f>
              <c:numCache>
                <c:formatCode>0</c:formatCode>
                <c:ptCount val="8"/>
                <c:pt idx="0">
                  <c:v>1</c:v>
                </c:pt>
                <c:pt idx="1">
                  <c:v>3</c:v>
                </c:pt>
                <c:pt idx="2">
                  <c:v>36</c:v>
                </c:pt>
                <c:pt idx="3">
                  <c:v>81</c:v>
                </c:pt>
                <c:pt idx="4">
                  <c:v>62</c:v>
                </c:pt>
                <c:pt idx="5">
                  <c:v>49</c:v>
                </c:pt>
                <c:pt idx="6">
                  <c:v>26</c:v>
                </c:pt>
                <c:pt idx="7">
                  <c:v>6</c:v>
                </c:pt>
              </c:numCache>
            </c:numRef>
          </c:val>
        </c:ser>
        <c:gapWidth val="219"/>
        <c:overlap val="-27"/>
        <c:axId val="76561380"/>
        <c:axId val="1183184"/>
      </c:barChart>
      <c:catAx>
        <c:axId val="76561380"/>
        <c:scaling>
          <c:orientation val="minMax"/>
        </c:scaling>
        <c:delete val="0"/>
        <c:axPos val="b"/>
        <c:title>
          <c:tx>
            <c:rich>
              <a:bodyPr rot="0"/>
              <a:lstStyle/>
              <a:p>
                <a:pPr>
                  <a:defRPr b="0" sz="1300" strike="noStrike" u="none">
                    <a:uFillTx/>
                    <a:latin typeface="Arial"/>
                  </a:defRPr>
                </a:pPr>
                <a:r>
                  <a:rPr b="0" lang="en-GB" sz="1000" strike="noStrike" u="none">
                    <a:solidFill>
                      <a:srgbClr val="595959"/>
                    </a:solidFill>
                    <a:uFillTx/>
                    <a:latin typeface="Aptos Narrow"/>
                  </a:rPr>
                  <a:t>Response time</a:t>
                </a:r>
              </a:p>
            </c:rich>
          </c:tx>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b="0" sz="900" strike="noStrike" u="none">
                <a:solidFill>
                  <a:srgbClr val="595959"/>
                </a:solidFill>
                <a:uFillTx/>
                <a:latin typeface="Aptos Narrow"/>
              </a:defRPr>
            </a:pPr>
          </a:p>
        </c:txPr>
        <c:crossAx val="1183184"/>
        <c:crosses val="autoZero"/>
        <c:auto val="1"/>
        <c:lblAlgn val="ctr"/>
        <c:lblOffset val="100"/>
        <c:noMultiLvlLbl val="0"/>
      </c:catAx>
      <c:valAx>
        <c:axId val="1183184"/>
        <c:scaling>
          <c:orientation val="minMax"/>
        </c:scaling>
        <c:delete val="0"/>
        <c:axPos val="l"/>
        <c:majorGridlines>
          <c:spPr>
            <a:ln w="9360">
              <a:solidFill>
                <a:srgbClr val="d9d9d9"/>
              </a:solidFill>
              <a:round/>
            </a:ln>
          </c:spPr>
        </c:majorGridlines>
        <c:title>
          <c:tx>
            <c:rich>
              <a:bodyPr rot="-5400000"/>
              <a:lstStyle/>
              <a:p>
                <a:pPr>
                  <a:defRPr b="0" sz="1300" strike="noStrike" u="none">
                    <a:uFillTx/>
                    <a:latin typeface="Arial"/>
                  </a:defRPr>
                </a:pPr>
                <a:r>
                  <a:rPr b="0" lang="en-GB" sz="1000" strike="noStrike" u="none">
                    <a:solidFill>
                      <a:srgbClr val="595959"/>
                    </a:solidFill>
                    <a:uFillTx/>
                    <a:latin typeface="Aptos Narrow"/>
                  </a:rPr>
                  <a:t>Number of messages</a:t>
                </a:r>
              </a:p>
            </c:rich>
          </c:tx>
          <c:overlay val="0"/>
          <c:spPr>
            <a:noFill/>
            <a:ln w="0">
              <a:noFill/>
            </a:ln>
          </c:spPr>
        </c:title>
        <c:numFmt formatCode="0" sourceLinked="0"/>
        <c:majorTickMark val="none"/>
        <c:minorTickMark val="none"/>
        <c:tickLblPos val="nextTo"/>
        <c:spPr>
          <a:ln w="12600">
            <a:noFill/>
          </a:ln>
        </c:spPr>
        <c:txPr>
          <a:bodyPr/>
          <a:lstStyle/>
          <a:p>
            <a:pPr>
              <a:defRPr b="0" sz="900" strike="noStrike" u="none">
                <a:solidFill>
                  <a:srgbClr val="595959"/>
                </a:solidFill>
                <a:uFillTx/>
                <a:latin typeface="Aptos Narrow"/>
              </a:defRPr>
            </a:pPr>
          </a:p>
        </c:txPr>
        <c:crossAx val="7656138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tx>
            <c:strRef>
              <c:f>SurveyResults!$G$18</c:f>
              <c:strCache>
                <c:ptCount val="1"/>
                <c:pt idx="0">
                  <c:v>Strongly Agree (Daily)</c:v>
                </c:pt>
              </c:strCache>
            </c:strRef>
          </c:tx>
          <c:spPr>
            <a:solidFill>
              <a:srgbClr val="265316"/>
            </a:solidFill>
            <a:ln w="0">
              <a:noFill/>
            </a:ln>
          </c:spPr>
          <c:invertIfNegative val="0"/>
          <c:dLbls>
            <c:txPr>
              <a:bodyPr wrap="square"/>
              <a:lstStyle/>
              <a:p>
                <a:pPr>
                  <a:defRPr b="0" sz="1000" strike="noStrike" u="none">
                    <a:solidFill>
                      <a:srgbClr val="000000"/>
                    </a:solidFill>
                    <a:uFillTx/>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SurveyResults!$H$17:$R$17</c:f>
              <c:strCache>
                <c:ptCount val="11"/>
                <c:pt idx="0">
                  <c:v>The chatbot function was easily detectable</c:v>
                </c:pt>
                <c:pt idx="1">
                  <c:v>It was easy to find the chatbot</c:v>
                </c:pt>
                <c:pt idx="2">
                  <c:v>Communicating with the chatbot was clear</c:v>
                </c:pt>
                <c:pt idx="3">
                  <c:v>The chatbot was able to keep track of context</c:v>
                </c:pt>
                <c:pt idx="4">
                  <c:v>The chatbot’s responses were easy to understand</c:v>
                </c:pt>
                <c:pt idx="5">
                  <c:v>I find that the chatbot understands what I want and helps me achieve my goal</c:v>
                </c:pt>
                <c:pt idx="6">
                  <c:v>The chatbot gives me the appropriate amount of information</c:v>
                </c:pt>
                <c:pt idx="7">
                  <c:v>The chatbot only gives me the information I need</c:v>
                </c:pt>
                <c:pt idx="8">
                  <c:v>I feel like the chatbot’s responses were accurate</c:v>
                </c:pt>
                <c:pt idx="9">
                  <c:v>My waiting time for a response from the chatbot was short</c:v>
                </c:pt>
                <c:pt idx="10">
                  <c:v>Do you think the chatbot accurately recognised and summarised the strategies you mentioned?</c:v>
                </c:pt>
              </c:strCache>
            </c:strRef>
          </c:cat>
          <c:val>
            <c:numRef>
              <c:f>SurveyResults!$H$18:$R$18</c:f>
              <c:numCache>
                <c:formatCode>General</c:formatCode>
                <c:ptCount val="11"/>
                <c:pt idx="0">
                  <c:v>8</c:v>
                </c:pt>
                <c:pt idx="1">
                  <c:v>10</c:v>
                </c:pt>
                <c:pt idx="2">
                  <c:v>6</c:v>
                </c:pt>
                <c:pt idx="3">
                  <c:v>4</c:v>
                </c:pt>
                <c:pt idx="4">
                  <c:v>7</c:v>
                </c:pt>
                <c:pt idx="5">
                  <c:v>5</c:v>
                </c:pt>
                <c:pt idx="6">
                  <c:v>4</c:v>
                </c:pt>
                <c:pt idx="7">
                  <c:v>5</c:v>
                </c:pt>
                <c:pt idx="8">
                  <c:v>6</c:v>
                </c:pt>
                <c:pt idx="9">
                  <c:v>5</c:v>
                </c:pt>
                <c:pt idx="10">
                  <c:v>6</c:v>
                </c:pt>
              </c:numCache>
            </c:numRef>
          </c:val>
        </c:ser>
        <c:ser>
          <c:idx val="1"/>
          <c:order val="1"/>
          <c:tx>
            <c:strRef>
              <c:f>SurveyResults!$G$19</c:f>
              <c:strCache>
                <c:ptCount val="1"/>
                <c:pt idx="0">
                  <c:v>Agree (Very Often)</c:v>
                </c:pt>
              </c:strCache>
            </c:strRef>
          </c:tx>
          <c:spPr>
            <a:solidFill>
              <a:srgbClr val="b3e5a1"/>
            </a:solidFill>
            <a:ln w="0">
              <a:noFill/>
            </a:ln>
          </c:spPr>
          <c:invertIfNegative val="0"/>
          <c:dLbls>
            <c:txPr>
              <a:bodyPr wrap="square"/>
              <a:lstStyle/>
              <a:p>
                <a:pPr>
                  <a:defRPr b="0" sz="1000" strike="noStrike" u="none">
                    <a:solidFill>
                      <a:srgbClr val="000000"/>
                    </a:solidFill>
                    <a:uFillTx/>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SurveyResults!$H$17:$R$17</c:f>
              <c:strCache>
                <c:ptCount val="11"/>
                <c:pt idx="0">
                  <c:v>The chatbot function was easily detectable</c:v>
                </c:pt>
                <c:pt idx="1">
                  <c:v>It was easy to find the chatbot</c:v>
                </c:pt>
                <c:pt idx="2">
                  <c:v>Communicating with the chatbot was clear</c:v>
                </c:pt>
                <c:pt idx="3">
                  <c:v>The chatbot was able to keep track of context</c:v>
                </c:pt>
                <c:pt idx="4">
                  <c:v>The chatbot’s responses were easy to understand</c:v>
                </c:pt>
                <c:pt idx="5">
                  <c:v>I find that the chatbot understands what I want and helps me achieve my goal</c:v>
                </c:pt>
                <c:pt idx="6">
                  <c:v>The chatbot gives me the appropriate amount of information</c:v>
                </c:pt>
                <c:pt idx="7">
                  <c:v>The chatbot only gives me the information I need</c:v>
                </c:pt>
                <c:pt idx="8">
                  <c:v>I feel like the chatbot’s responses were accurate</c:v>
                </c:pt>
                <c:pt idx="9">
                  <c:v>My waiting time for a response from the chatbot was short</c:v>
                </c:pt>
                <c:pt idx="10">
                  <c:v>Do you think the chatbot accurately recognised and summarised the strategies you mentioned?</c:v>
                </c:pt>
              </c:strCache>
            </c:strRef>
          </c:cat>
          <c:val>
            <c:numRef>
              <c:f>SurveyResults!$H$19:$R$19</c:f>
              <c:numCache>
                <c:formatCode>General</c:formatCode>
                <c:ptCount val="11"/>
                <c:pt idx="0">
                  <c:v>3</c:v>
                </c:pt>
                <c:pt idx="1">
                  <c:v>2</c:v>
                </c:pt>
                <c:pt idx="2">
                  <c:v>4</c:v>
                </c:pt>
                <c:pt idx="3">
                  <c:v>7</c:v>
                </c:pt>
                <c:pt idx="4">
                  <c:v>5</c:v>
                </c:pt>
                <c:pt idx="5">
                  <c:v>5</c:v>
                </c:pt>
                <c:pt idx="6">
                  <c:v>6</c:v>
                </c:pt>
                <c:pt idx="7">
                  <c:v>4</c:v>
                </c:pt>
                <c:pt idx="8">
                  <c:v>3</c:v>
                </c:pt>
                <c:pt idx="9">
                  <c:v>3</c:v>
                </c:pt>
                <c:pt idx="10">
                  <c:v>5</c:v>
                </c:pt>
              </c:numCache>
            </c:numRef>
          </c:val>
        </c:ser>
        <c:ser>
          <c:idx val="2"/>
          <c:order val="2"/>
          <c:tx>
            <c:strRef>
              <c:f>SurveyResults!$G$20</c:f>
              <c:strCache>
                <c:ptCount val="1"/>
                <c:pt idx="0">
                  <c:v>No opinion (Sometimes)</c:v>
                </c:pt>
              </c:strCache>
            </c:strRef>
          </c:tx>
          <c:spPr>
            <a:solidFill>
              <a:srgbClr val="7f7f7f"/>
            </a:solidFill>
            <a:ln w="0">
              <a:noFill/>
            </a:ln>
          </c:spPr>
          <c:invertIfNegative val="0"/>
          <c:dLbls>
            <c:txPr>
              <a:bodyPr wrap="square"/>
              <a:lstStyle/>
              <a:p>
                <a:pPr>
                  <a:defRPr b="0" sz="1000" strike="noStrike" u="none">
                    <a:solidFill>
                      <a:srgbClr val="000000"/>
                    </a:solidFill>
                    <a:uFillTx/>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SurveyResults!$H$17:$R$17</c:f>
              <c:strCache>
                <c:ptCount val="11"/>
                <c:pt idx="0">
                  <c:v>The chatbot function was easily detectable</c:v>
                </c:pt>
                <c:pt idx="1">
                  <c:v>It was easy to find the chatbot</c:v>
                </c:pt>
                <c:pt idx="2">
                  <c:v>Communicating with the chatbot was clear</c:v>
                </c:pt>
                <c:pt idx="3">
                  <c:v>The chatbot was able to keep track of context</c:v>
                </c:pt>
                <c:pt idx="4">
                  <c:v>The chatbot’s responses were easy to understand</c:v>
                </c:pt>
                <c:pt idx="5">
                  <c:v>I find that the chatbot understands what I want and helps me achieve my goal</c:v>
                </c:pt>
                <c:pt idx="6">
                  <c:v>The chatbot gives me the appropriate amount of information</c:v>
                </c:pt>
                <c:pt idx="7">
                  <c:v>The chatbot only gives me the information I need</c:v>
                </c:pt>
                <c:pt idx="8">
                  <c:v>I feel like the chatbot’s responses were accurate</c:v>
                </c:pt>
                <c:pt idx="9">
                  <c:v>My waiting time for a response from the chatbot was short</c:v>
                </c:pt>
                <c:pt idx="10">
                  <c:v>Do you think the chatbot accurately recognised and summarised the strategies you mentioned?</c:v>
                </c:pt>
              </c:strCache>
            </c:strRef>
          </c:cat>
          <c:val>
            <c:numRef>
              <c:f>SurveyResults!$H$20:$R$20</c:f>
              <c:numCache>
                <c:formatCode>General</c:formatCode>
                <c:ptCount val="11"/>
                <c:pt idx="0">
                  <c:v>1</c:v>
                </c:pt>
                <c:pt idx="1">
                  <c:v>0</c:v>
                </c:pt>
                <c:pt idx="2">
                  <c:v>2</c:v>
                </c:pt>
                <c:pt idx="3">
                  <c:v>1</c:v>
                </c:pt>
                <c:pt idx="4">
                  <c:v>0</c:v>
                </c:pt>
                <c:pt idx="5">
                  <c:v>2</c:v>
                </c:pt>
                <c:pt idx="6">
                  <c:v>2</c:v>
                </c:pt>
                <c:pt idx="7">
                  <c:v>2</c:v>
                </c:pt>
                <c:pt idx="8">
                  <c:v>3</c:v>
                </c:pt>
                <c:pt idx="9">
                  <c:v>4</c:v>
                </c:pt>
                <c:pt idx="10">
                  <c:v>1</c:v>
                </c:pt>
              </c:numCache>
            </c:numRef>
          </c:val>
        </c:ser>
        <c:ser>
          <c:idx val="3"/>
          <c:order val="3"/>
          <c:tx>
            <c:strRef>
              <c:f>SurveyResults!$G$21</c:f>
              <c:strCache>
                <c:ptCount val="1"/>
                <c:pt idx="0">
                  <c:v>Disagree (Rarely)</c:v>
                </c:pt>
              </c:strCache>
            </c:strRef>
          </c:tx>
          <c:spPr>
            <a:solidFill>
              <a:srgbClr val="fe8d30"/>
            </a:solidFill>
            <a:ln w="0">
              <a:noFill/>
            </a:ln>
          </c:spPr>
          <c:invertIfNegative val="0"/>
          <c:dLbls>
            <c:txPr>
              <a:bodyPr wrap="square"/>
              <a:lstStyle/>
              <a:p>
                <a:pPr>
                  <a:defRPr b="0" sz="1000" strike="noStrike" u="none">
                    <a:solidFill>
                      <a:srgbClr val="000000"/>
                    </a:solidFill>
                    <a:uFillTx/>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SurveyResults!$H$17:$R$17</c:f>
              <c:strCache>
                <c:ptCount val="11"/>
                <c:pt idx="0">
                  <c:v>The chatbot function was easily detectable</c:v>
                </c:pt>
                <c:pt idx="1">
                  <c:v>It was easy to find the chatbot</c:v>
                </c:pt>
                <c:pt idx="2">
                  <c:v>Communicating with the chatbot was clear</c:v>
                </c:pt>
                <c:pt idx="3">
                  <c:v>The chatbot was able to keep track of context</c:v>
                </c:pt>
                <c:pt idx="4">
                  <c:v>The chatbot’s responses were easy to understand</c:v>
                </c:pt>
                <c:pt idx="5">
                  <c:v>I find that the chatbot understands what I want and helps me achieve my goal</c:v>
                </c:pt>
                <c:pt idx="6">
                  <c:v>The chatbot gives me the appropriate amount of information</c:v>
                </c:pt>
                <c:pt idx="7">
                  <c:v>The chatbot only gives me the information I need</c:v>
                </c:pt>
                <c:pt idx="8">
                  <c:v>I feel like the chatbot’s responses were accurate</c:v>
                </c:pt>
                <c:pt idx="9">
                  <c:v>My waiting time for a response from the chatbot was short</c:v>
                </c:pt>
                <c:pt idx="10">
                  <c:v>Do you think the chatbot accurately recognised and summarised the strategies you mentioned?</c:v>
                </c:pt>
              </c:strCache>
            </c:strRef>
          </c:cat>
          <c:val>
            <c:numRef>
              <c:f>SurveyResults!$H$21:$R$21</c:f>
              <c:numCache>
                <c:formatCode>General</c:formatCode>
                <c:ptCount val="11"/>
                <c:pt idx="0">
                  <c:v>0</c:v>
                </c:pt>
                <c:pt idx="1">
                  <c:v>0</c:v>
                </c:pt>
                <c:pt idx="2">
                  <c:v>0</c:v>
                </c:pt>
                <c:pt idx="3">
                  <c:v>0</c:v>
                </c:pt>
                <c:pt idx="4">
                  <c:v>0</c:v>
                </c:pt>
                <c:pt idx="5">
                  <c:v>1</c:v>
                </c:pt>
                <c:pt idx="6">
                  <c:v>1</c:v>
                </c:pt>
                <c:pt idx="7">
                  <c:v>1</c:v>
                </c:pt>
                <c:pt idx="8">
                  <c:v>0</c:v>
                </c:pt>
                <c:pt idx="9">
                  <c:v>0</c:v>
                </c:pt>
                <c:pt idx="10">
                  <c:v>1</c:v>
                </c:pt>
              </c:numCache>
            </c:numRef>
          </c:val>
        </c:ser>
        <c:ser>
          <c:idx val="4"/>
          <c:order val="4"/>
          <c:tx>
            <c:strRef>
              <c:f>SurveyResults!$G$22</c:f>
              <c:strCache>
                <c:ptCount val="1"/>
                <c:pt idx="0">
                  <c:v>Strongly Disagree (Never)</c:v>
                </c:pt>
              </c:strCache>
            </c:strRef>
          </c:tx>
          <c:spPr>
            <a:solidFill>
              <a:srgbClr val="c62f06"/>
            </a:solidFill>
            <a:ln w="0">
              <a:noFill/>
            </a:ln>
          </c:spPr>
          <c:invertIfNegative val="0"/>
          <c:dLbls>
            <c:txPr>
              <a:bodyPr wrap="square"/>
              <a:lstStyle/>
              <a:p>
                <a:pPr>
                  <a:defRPr b="0" sz="1000" strike="noStrike" u="none">
                    <a:solidFill>
                      <a:srgbClr val="000000"/>
                    </a:solidFill>
                    <a:uFillTx/>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SurveyResults!$H$17:$R$17</c:f>
              <c:strCache>
                <c:ptCount val="11"/>
                <c:pt idx="0">
                  <c:v>The chatbot function was easily detectable</c:v>
                </c:pt>
                <c:pt idx="1">
                  <c:v>It was easy to find the chatbot</c:v>
                </c:pt>
                <c:pt idx="2">
                  <c:v>Communicating with the chatbot was clear</c:v>
                </c:pt>
                <c:pt idx="3">
                  <c:v>The chatbot was able to keep track of context</c:v>
                </c:pt>
                <c:pt idx="4">
                  <c:v>The chatbot’s responses were easy to understand</c:v>
                </c:pt>
                <c:pt idx="5">
                  <c:v>I find that the chatbot understands what I want and helps me achieve my goal</c:v>
                </c:pt>
                <c:pt idx="6">
                  <c:v>The chatbot gives me the appropriate amount of information</c:v>
                </c:pt>
                <c:pt idx="7">
                  <c:v>The chatbot only gives me the information I need</c:v>
                </c:pt>
                <c:pt idx="8">
                  <c:v>I feel like the chatbot’s responses were accurate</c:v>
                </c:pt>
                <c:pt idx="9">
                  <c:v>My waiting time for a response from the chatbot was short</c:v>
                </c:pt>
                <c:pt idx="10">
                  <c:v>Do you think the chatbot accurately recognised and summarised the strategies you mentioned?</c:v>
                </c:pt>
              </c:strCache>
            </c:strRef>
          </c:cat>
          <c:val>
            <c:numRef>
              <c:f>SurveyResults!$H$22:$R$22</c:f>
              <c:numCache>
                <c:formatCode>General</c:formatCode>
                <c:ptCount val="11"/>
                <c:pt idx="0">
                  <c:v>1</c:v>
                </c:pt>
                <c:pt idx="1">
                  <c:v>1</c:v>
                </c:pt>
                <c:pt idx="2">
                  <c:v>1</c:v>
                </c:pt>
                <c:pt idx="3">
                  <c:v>1</c:v>
                </c:pt>
                <c:pt idx="4">
                  <c:v>1</c:v>
                </c:pt>
                <c:pt idx="5">
                  <c:v>0</c:v>
                </c:pt>
                <c:pt idx="6">
                  <c:v>0</c:v>
                </c:pt>
                <c:pt idx="7">
                  <c:v>1</c:v>
                </c:pt>
                <c:pt idx="8">
                  <c:v>1</c:v>
                </c:pt>
                <c:pt idx="9">
                  <c:v>1</c:v>
                </c:pt>
                <c:pt idx="10">
                  <c:v>0</c:v>
                </c:pt>
              </c:numCache>
            </c:numRef>
          </c:val>
        </c:ser>
        <c:gapWidth val="150"/>
        <c:overlap val="100"/>
        <c:axId val="17154585"/>
        <c:axId val="60740507"/>
      </c:barChart>
      <c:catAx>
        <c:axId val="17154585"/>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trike="noStrike" u="none">
                <a:solidFill>
                  <a:srgbClr val="000000"/>
                </a:solidFill>
                <a:uFillTx/>
                <a:latin typeface="Aptos Narrow"/>
              </a:defRPr>
            </a:pPr>
          </a:p>
        </c:txPr>
        <c:crossAx val="60740507"/>
        <c:crosses val="autoZero"/>
        <c:auto val="1"/>
        <c:lblAlgn val="ctr"/>
        <c:lblOffset val="100"/>
        <c:noMultiLvlLbl val="0"/>
      </c:catAx>
      <c:valAx>
        <c:axId val="60740507"/>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b="0" sz="900" strike="noStrike" u="none">
                <a:solidFill>
                  <a:srgbClr val="000000"/>
                </a:solidFill>
                <a:uFillTx/>
                <a:latin typeface="Aptos Narrow"/>
              </a:defRPr>
            </a:pPr>
          </a:p>
        </c:txPr>
        <c:crossAx val="17154585"/>
        <c:crosses val="autoZero"/>
        <c:crossBetween val="between"/>
      </c:valAx>
      <c:spPr>
        <a:noFill/>
        <a:ln w="0">
          <a:noFill/>
        </a:ln>
      </c:spPr>
    </c:plotArea>
    <c:legend>
      <c:legendPos val="b"/>
      <c:overlay val="0"/>
      <c:spPr>
        <a:noFill/>
        <a:ln w="0">
          <a:noFill/>
        </a:ln>
      </c:spPr>
      <c:txPr>
        <a:bodyPr/>
        <a:lstStyle/>
        <a:p>
          <a:pPr>
            <a:defRPr b="0" sz="900" strike="noStrike" u="none">
              <a:solidFill>
                <a:srgbClr val="000000"/>
              </a:solidFill>
              <a:uFillTx/>
              <a:latin typeface="Aptos Narrow"/>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tx>
            <c:strRef>
              <c:f>'SurveyResults (Pilot Evaluatio)'!$G$8</c:f>
              <c:strCache>
                <c:ptCount val="1"/>
                <c:pt idx="0">
                  <c:v>Strongly Agree</c:v>
                </c:pt>
              </c:strCache>
            </c:strRef>
          </c:tx>
          <c:spPr>
            <a:solidFill>
              <a:srgbClr val="265316"/>
            </a:solidFill>
            <a:ln w="0">
              <a:noFill/>
            </a:ln>
          </c:spPr>
          <c:invertIfNegative val="0"/>
          <c:dLbls>
            <c:txPr>
              <a:bodyPr wrap="square"/>
              <a:lstStyle/>
              <a:p>
                <a:pPr>
                  <a:defRPr b="0" sz="1000" strike="noStrike" u="none">
                    <a:solidFill>
                      <a:srgbClr val="000000"/>
                    </a:solidFill>
                    <a:uFillTx/>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'SurveyResults (Pilot Evaluatio)'!$H$7:$T$7</c:f>
              <c:strCache>
                <c:ptCount val="13"/>
                <c:pt idx="0">
                  <c:v>The chatbot function was easily detectable</c:v>
                </c:pt>
                <c:pt idx="1">
                  <c:v>It was easy to find the chatbot</c:v>
                </c:pt>
                <c:pt idx="2">
                  <c:v>Communicating with the chatbot was clear</c:v>
                </c:pt>
                <c:pt idx="3">
                  <c:v>The chatbot was able to keep track of context</c:v>
                </c:pt>
                <c:pt idx="4">
                  <c:v>The chatbot’s responses were easy to understand</c:v>
                </c:pt>
                <c:pt idx="5">
                  <c:v>I find that the chatbot understands what I want and helps me achieve my goal</c:v>
                </c:pt>
                <c:pt idx="6">
                  <c:v>The chatbot gives me the appropriate amount of information</c:v>
                </c:pt>
                <c:pt idx="7">
                  <c:v>The chatbot only gives me the information I need</c:v>
                </c:pt>
                <c:pt idx="8">
                  <c:v>I feel like the chatbot’s responses were accurate</c:v>
                </c:pt>
                <c:pt idx="9">
                  <c:v>My waiting time for a response from the chatbot was short</c:v>
                </c:pt>
                <c:pt idx="10">
                  <c:v>Do you think the chatbot accurately recognised and summarised the strategies you mentioned?</c:v>
                </c:pt>
                <c:pt idx="11">
                  <c:v>How familiar are you with chatbots and/or other conversational interfaces?</c:v>
                </c:pt>
                <c:pt idx="12">
                  <c:v>How frequently do you use AI/Large Language Models (LLM) for work or education?</c:v>
                </c:pt>
              </c:strCache>
            </c:strRef>
          </c:cat>
          <c:val>
            <c:numRef>
              <c:f>'SurveyResults (Pilot Evaluatio)'!$H$8:$T$8</c:f>
              <c:numCache>
                <c:formatCode>General</c:formatCode>
                <c:ptCount val="13"/>
                <c:pt idx="0">
                  <c:v>2</c:v>
                </c:pt>
                <c:pt idx="1">
                  <c:v>2</c:v>
                </c:pt>
                <c:pt idx="2">
                  <c:v>1</c:v>
                </c:pt>
                <c:pt idx="3">
                  <c:v>1</c:v>
                </c:pt>
                <c:pt idx="4">
                  <c:v>2</c:v>
                </c:pt>
                <c:pt idx="5">
                  <c:v>2</c:v>
                </c:pt>
                <c:pt idx="6">
                  <c:v>1</c:v>
                </c:pt>
                <c:pt idx="7">
                  <c:v>2</c:v>
                </c:pt>
                <c:pt idx="8">
                  <c:v>2</c:v>
                </c:pt>
                <c:pt idx="9">
                  <c:v>2</c:v>
                </c:pt>
                <c:pt idx="10">
                  <c:v>2</c:v>
                </c:pt>
                <c:pt idx="11">
                  <c:v>0</c:v>
                </c:pt>
                <c:pt idx="12">
                  <c:v>1</c:v>
                </c:pt>
              </c:numCache>
            </c:numRef>
          </c:val>
        </c:ser>
        <c:ser>
          <c:idx val="1"/>
          <c:order val="1"/>
          <c:tx>
            <c:strRef>
              <c:f>'SurveyResults (Pilot Evaluatio)'!$G$9</c:f>
              <c:strCache>
                <c:ptCount val="1"/>
                <c:pt idx="0">
                  <c:v>Agree</c:v>
                </c:pt>
              </c:strCache>
            </c:strRef>
          </c:tx>
          <c:spPr>
            <a:solidFill>
              <a:srgbClr val="b3e5a1"/>
            </a:solidFill>
            <a:ln w="0">
              <a:noFill/>
            </a:ln>
          </c:spPr>
          <c:invertIfNegative val="0"/>
          <c:dLbls>
            <c:txPr>
              <a:bodyPr wrap="square"/>
              <a:lstStyle/>
              <a:p>
                <a:pPr>
                  <a:defRPr b="0" sz="1000" strike="noStrike" u="none">
                    <a:solidFill>
                      <a:srgbClr val="000000"/>
                    </a:solidFill>
                    <a:uFillTx/>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'SurveyResults (Pilot Evaluatio)'!$H$7:$T$7</c:f>
              <c:strCache>
                <c:ptCount val="13"/>
                <c:pt idx="0">
                  <c:v>The chatbot function was easily detectable</c:v>
                </c:pt>
                <c:pt idx="1">
                  <c:v>It was easy to find the chatbot</c:v>
                </c:pt>
                <c:pt idx="2">
                  <c:v>Communicating with the chatbot was clear</c:v>
                </c:pt>
                <c:pt idx="3">
                  <c:v>The chatbot was able to keep track of context</c:v>
                </c:pt>
                <c:pt idx="4">
                  <c:v>The chatbot’s responses were easy to understand</c:v>
                </c:pt>
                <c:pt idx="5">
                  <c:v>I find that the chatbot understands what I want and helps me achieve my goal</c:v>
                </c:pt>
                <c:pt idx="6">
                  <c:v>The chatbot gives me the appropriate amount of information</c:v>
                </c:pt>
                <c:pt idx="7">
                  <c:v>The chatbot only gives me the information I need</c:v>
                </c:pt>
                <c:pt idx="8">
                  <c:v>I feel like the chatbot’s responses were accurate</c:v>
                </c:pt>
                <c:pt idx="9">
                  <c:v>My waiting time for a response from the chatbot was short</c:v>
                </c:pt>
                <c:pt idx="10">
                  <c:v>Do you think the chatbot accurately recognised and summarised the strategies you mentioned?</c:v>
                </c:pt>
                <c:pt idx="11">
                  <c:v>How familiar are you with chatbots and/or other conversational interfaces?</c:v>
                </c:pt>
                <c:pt idx="12">
                  <c:v>How frequently do you use AI/Large Language Models (LLM) for work or education?</c:v>
                </c:pt>
              </c:strCache>
            </c:strRef>
          </c:cat>
          <c:val>
            <c:numRef>
              <c:f>'SurveyResults (Pilot Evaluatio)'!$H$9:$T$9</c:f>
              <c:numCache>
                <c:formatCode>General</c:formatCode>
                <c:ptCount val="13"/>
                <c:pt idx="0">
                  <c:v>0</c:v>
                </c:pt>
                <c:pt idx="1">
                  <c:v>1</c:v>
                </c:pt>
                <c:pt idx="2">
                  <c:v>1</c:v>
                </c:pt>
                <c:pt idx="3">
                  <c:v>1</c:v>
                </c:pt>
                <c:pt idx="4">
                  <c:v>1</c:v>
                </c:pt>
                <c:pt idx="5">
                  <c:v>1</c:v>
                </c:pt>
                <c:pt idx="6">
                  <c:v>2</c:v>
                </c:pt>
                <c:pt idx="7">
                  <c:v>1</c:v>
                </c:pt>
                <c:pt idx="8">
                  <c:v>0</c:v>
                </c:pt>
                <c:pt idx="9">
                  <c:v>0</c:v>
                </c:pt>
                <c:pt idx="10">
                  <c:v>1</c:v>
                </c:pt>
                <c:pt idx="11">
                  <c:v>3</c:v>
                </c:pt>
                <c:pt idx="12">
                  <c:v>0</c:v>
                </c:pt>
              </c:numCache>
            </c:numRef>
          </c:val>
        </c:ser>
        <c:ser>
          <c:idx val="2"/>
          <c:order val="2"/>
          <c:tx>
            <c:strRef>
              <c:f>'SurveyResults (Pilot Evaluatio)'!$G$10</c:f>
              <c:strCache>
                <c:ptCount val="1"/>
                <c:pt idx="0">
                  <c:v>No opinion</c:v>
                </c:pt>
              </c:strCache>
            </c:strRef>
          </c:tx>
          <c:spPr>
            <a:solidFill>
              <a:srgbClr val="7f7f7f"/>
            </a:solidFill>
            <a:ln w="0">
              <a:noFill/>
            </a:ln>
          </c:spPr>
          <c:invertIfNegative val="0"/>
          <c:dLbls>
            <c:txPr>
              <a:bodyPr wrap="square"/>
              <a:lstStyle/>
              <a:p>
                <a:pPr>
                  <a:defRPr b="0" sz="1000" strike="noStrike" u="none">
                    <a:solidFill>
                      <a:srgbClr val="000000"/>
                    </a:solidFill>
                    <a:uFillTx/>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'SurveyResults (Pilot Evaluatio)'!$H$7:$T$7</c:f>
              <c:strCache>
                <c:ptCount val="13"/>
                <c:pt idx="0">
                  <c:v>The chatbot function was easily detectable</c:v>
                </c:pt>
                <c:pt idx="1">
                  <c:v>It was easy to find the chatbot</c:v>
                </c:pt>
                <c:pt idx="2">
                  <c:v>Communicating with the chatbot was clear</c:v>
                </c:pt>
                <c:pt idx="3">
                  <c:v>The chatbot was able to keep track of context</c:v>
                </c:pt>
                <c:pt idx="4">
                  <c:v>The chatbot’s responses were easy to understand</c:v>
                </c:pt>
                <c:pt idx="5">
                  <c:v>I find that the chatbot understands what I want and helps me achieve my goal</c:v>
                </c:pt>
                <c:pt idx="6">
                  <c:v>The chatbot gives me the appropriate amount of information</c:v>
                </c:pt>
                <c:pt idx="7">
                  <c:v>The chatbot only gives me the information I need</c:v>
                </c:pt>
                <c:pt idx="8">
                  <c:v>I feel like the chatbot’s responses were accurate</c:v>
                </c:pt>
                <c:pt idx="9">
                  <c:v>My waiting time for a response from the chatbot was short</c:v>
                </c:pt>
                <c:pt idx="10">
                  <c:v>Do you think the chatbot accurately recognised and summarised the strategies you mentioned?</c:v>
                </c:pt>
                <c:pt idx="11">
                  <c:v>How familiar are you with chatbots and/or other conversational interfaces?</c:v>
                </c:pt>
                <c:pt idx="12">
                  <c:v>How frequently do you use AI/Large Language Models (LLM) for work or education?</c:v>
                </c:pt>
              </c:strCache>
            </c:strRef>
          </c:cat>
          <c:val>
            <c:numRef>
              <c:f>'SurveyResults (Pilot Evaluatio)'!$H$10:$T$10</c:f>
              <c:numCache>
                <c:formatCode>General</c:formatCode>
                <c:ptCount val="13"/>
                <c:pt idx="0">
                  <c:v>1</c:v>
                </c:pt>
                <c:pt idx="1">
                  <c:v>0</c:v>
                </c:pt>
                <c:pt idx="2">
                  <c:v>1</c:v>
                </c:pt>
                <c:pt idx="3">
                  <c:v>1</c:v>
                </c:pt>
                <c:pt idx="4">
                  <c:v>0</c:v>
                </c:pt>
                <c:pt idx="5">
                  <c:v>0</c:v>
                </c:pt>
                <c:pt idx="6">
                  <c:v>0</c:v>
                </c:pt>
                <c:pt idx="7">
                  <c:v>0</c:v>
                </c:pt>
                <c:pt idx="8">
                  <c:v>1</c:v>
                </c:pt>
                <c:pt idx="9">
                  <c:v>1</c:v>
                </c:pt>
                <c:pt idx="10">
                  <c:v>0</c:v>
                </c:pt>
                <c:pt idx="11">
                  <c:v>0</c:v>
                </c:pt>
                <c:pt idx="12">
                  <c:v>2</c:v>
                </c:pt>
              </c:numCache>
            </c:numRef>
          </c:val>
        </c:ser>
        <c:ser>
          <c:idx val="3"/>
          <c:order val="3"/>
          <c:tx>
            <c:strRef>
              <c:f>'SurveyResults (Pilot Evaluatio)'!$G$11</c:f>
              <c:strCache>
                <c:ptCount val="1"/>
                <c:pt idx="0">
                  <c:v>Disagree</c:v>
                </c:pt>
              </c:strCache>
            </c:strRef>
          </c:tx>
          <c:spPr>
            <a:solidFill>
              <a:srgbClr val="fe8d30"/>
            </a:solidFill>
            <a:ln w="0">
              <a:noFill/>
            </a:ln>
          </c:spPr>
          <c:invertIfNegative val="0"/>
          <c:dLbls>
            <c:txPr>
              <a:bodyPr wrap="square"/>
              <a:lstStyle/>
              <a:p>
                <a:pPr>
                  <a:defRPr b="0" sz="1000" strike="noStrike" u="none">
                    <a:solidFill>
                      <a:srgbClr val="000000"/>
                    </a:solidFill>
                    <a:uFillTx/>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'SurveyResults (Pilot Evaluatio)'!$H$7:$T$7</c:f>
              <c:strCache>
                <c:ptCount val="13"/>
                <c:pt idx="0">
                  <c:v>The chatbot function was easily detectable</c:v>
                </c:pt>
                <c:pt idx="1">
                  <c:v>It was easy to find the chatbot</c:v>
                </c:pt>
                <c:pt idx="2">
                  <c:v>Communicating with the chatbot was clear</c:v>
                </c:pt>
                <c:pt idx="3">
                  <c:v>The chatbot was able to keep track of context</c:v>
                </c:pt>
                <c:pt idx="4">
                  <c:v>The chatbot’s responses were easy to understand</c:v>
                </c:pt>
                <c:pt idx="5">
                  <c:v>I find that the chatbot understands what I want and helps me achieve my goal</c:v>
                </c:pt>
                <c:pt idx="6">
                  <c:v>The chatbot gives me the appropriate amount of information</c:v>
                </c:pt>
                <c:pt idx="7">
                  <c:v>The chatbot only gives me the information I need</c:v>
                </c:pt>
                <c:pt idx="8">
                  <c:v>I feel like the chatbot’s responses were accurate</c:v>
                </c:pt>
                <c:pt idx="9">
                  <c:v>My waiting time for a response from the chatbot was short</c:v>
                </c:pt>
                <c:pt idx="10">
                  <c:v>Do you think the chatbot accurately recognised and summarised the strategies you mentioned?</c:v>
                </c:pt>
                <c:pt idx="11">
                  <c:v>How familiar are you with chatbots and/or other conversational interfaces?</c:v>
                </c:pt>
                <c:pt idx="12">
                  <c:v>How frequently do you use AI/Large Language Models (LLM) for work or education?</c:v>
                </c:pt>
              </c:strCache>
            </c:strRef>
          </c:cat>
          <c:val>
            <c:numRef>
              <c:f>'SurveyResults (Pilot Evaluatio)'!$H$11:$T$11</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4"/>
          <c:order val="4"/>
          <c:tx>
            <c:strRef>
              <c:f>'SurveyResults (Pilot Evaluatio)'!$G$12</c:f>
              <c:strCache>
                <c:ptCount val="1"/>
                <c:pt idx="0">
                  <c:v>Strongly Disagree</c:v>
                </c:pt>
              </c:strCache>
            </c:strRef>
          </c:tx>
          <c:spPr>
            <a:solidFill>
              <a:srgbClr val="c62f06"/>
            </a:solidFill>
            <a:ln w="0">
              <a:noFill/>
            </a:ln>
          </c:spPr>
          <c:invertIfNegative val="0"/>
          <c:dLbls>
            <c:txPr>
              <a:bodyPr wrap="square"/>
              <a:lstStyle/>
              <a:p>
                <a:pPr>
                  <a:defRPr b="0" sz="1000" strike="noStrike" u="none">
                    <a:solidFill>
                      <a:srgbClr val="000000"/>
                    </a:solidFill>
                    <a:uFillTx/>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'SurveyResults (Pilot Evaluatio)'!$H$7:$T$7</c:f>
              <c:strCache>
                <c:ptCount val="13"/>
                <c:pt idx="0">
                  <c:v>The chatbot function was easily detectable</c:v>
                </c:pt>
                <c:pt idx="1">
                  <c:v>It was easy to find the chatbot</c:v>
                </c:pt>
                <c:pt idx="2">
                  <c:v>Communicating with the chatbot was clear</c:v>
                </c:pt>
                <c:pt idx="3">
                  <c:v>The chatbot was able to keep track of context</c:v>
                </c:pt>
                <c:pt idx="4">
                  <c:v>The chatbot’s responses were easy to understand</c:v>
                </c:pt>
                <c:pt idx="5">
                  <c:v>I find that the chatbot understands what I want and helps me achieve my goal</c:v>
                </c:pt>
                <c:pt idx="6">
                  <c:v>The chatbot gives me the appropriate amount of information</c:v>
                </c:pt>
                <c:pt idx="7">
                  <c:v>The chatbot only gives me the information I need</c:v>
                </c:pt>
                <c:pt idx="8">
                  <c:v>I feel like the chatbot’s responses were accurate</c:v>
                </c:pt>
                <c:pt idx="9">
                  <c:v>My waiting time for a response from the chatbot was short</c:v>
                </c:pt>
                <c:pt idx="10">
                  <c:v>Do you think the chatbot accurately recognised and summarised the strategies you mentioned?</c:v>
                </c:pt>
                <c:pt idx="11">
                  <c:v>How familiar are you with chatbots and/or other conversational interfaces?</c:v>
                </c:pt>
                <c:pt idx="12">
                  <c:v>How frequently do you use AI/Large Language Models (LLM) for work or education?</c:v>
                </c:pt>
              </c:strCache>
            </c:strRef>
          </c:cat>
          <c:val>
            <c:numRef>
              <c:f>'SurveyResults (Pilot Evaluatio)'!$H$12:$T$12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gapWidth val="150"/>
        <c:overlap val="100"/>
        <c:axId val="13570022"/>
        <c:axId val="88764153"/>
      </c:barChart>
      <c:catAx>
        <c:axId val="13570022"/>
        <c:scaling>
          <c:orientation val="maxMin"/>
        </c:scaling>
        <c:delete val="0"/>
        <c:axPos val="b"/>
        <c:numFmt formatCode="General" sourceLinked="0"/>
        <c:majorTickMark val="none"/>
        <c:minorTickMark val="none"/>
        <c:tickLblPos val="nextTo"/>
        <c:spPr>
          <a:ln w="9360">
            <a:solidFill>
              <a:srgbClr val="d9d9d9"/>
            </a:solidFill>
            <a:round/>
          </a:ln>
        </c:spPr>
        <c:txPr>
          <a:bodyPr/>
          <a:lstStyle/>
          <a:p>
            <a:pPr>
              <a:defRPr b="0" sz="900" strike="noStrike" u="none">
                <a:solidFill>
                  <a:srgbClr val="595959"/>
                </a:solidFill>
                <a:uFillTx/>
                <a:latin typeface="Aptos Narrow"/>
              </a:defRPr>
            </a:pPr>
          </a:p>
        </c:txPr>
        <c:crossAx val="88764153"/>
        <c:crosses val="autoZero"/>
        <c:auto val="1"/>
        <c:lblAlgn val="ctr"/>
        <c:lblOffset val="100"/>
        <c:noMultiLvlLbl val="0"/>
      </c:catAx>
      <c:valAx>
        <c:axId val="88764153"/>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b="0" sz="900" strike="noStrike" u="none">
                <a:solidFill>
                  <a:srgbClr val="595959"/>
                </a:solidFill>
                <a:uFillTx/>
                <a:latin typeface="Aptos Narrow"/>
              </a:defRPr>
            </a:pPr>
          </a:p>
        </c:txPr>
        <c:crossAx val="13570022"/>
        <c:crosses val="autoZero"/>
        <c:crossBetween val="between"/>
      </c:valAx>
      <c:spPr>
        <a:noFill/>
        <a:ln w="0">
          <a:noFill/>
        </a:ln>
      </c:spPr>
    </c:plotArea>
    <c:legend>
      <c:legendPos val="b"/>
      <c:overlay val="0"/>
      <c:spPr>
        <a:noFill/>
        <a:ln w="0">
          <a:noFill/>
        </a:ln>
      </c:spPr>
      <c:txPr>
        <a:bodyPr/>
        <a:lstStyle/>
        <a:p>
          <a:pPr>
            <a:defRPr b="0" sz="900" strike="noStrike" u="none">
              <a:solidFill>
                <a:srgbClr val="595959"/>
              </a:solidFill>
              <a:uFillTx/>
              <a:latin typeface="Aptos Narrow"/>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61920</xdr:colOff>
      <xdr:row>27</xdr:row>
      <xdr:rowOff>881280</xdr:rowOff>
    </xdr:from>
    <xdr:to>
      <xdr:col>12</xdr:col>
      <xdr:colOff>256680</xdr:colOff>
      <xdr:row>35</xdr:row>
      <xdr:rowOff>278280</xdr:rowOff>
    </xdr:to>
    <xdr:graphicFrame>
      <xdr:nvGraphicFramePr>
        <xdr:cNvPr id="0" name="Chart 6"/>
        <xdr:cNvGraphicFramePr/>
      </xdr:nvGraphicFramePr>
      <xdr:xfrm>
        <a:off x="13877640" y="7329240"/>
        <a:ext cx="7106760" cy="367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138240</xdr:colOff>
      <xdr:row>27</xdr:row>
      <xdr:rowOff>84960</xdr:rowOff>
    </xdr:from>
    <xdr:to>
      <xdr:col>28</xdr:col>
      <xdr:colOff>142560</xdr:colOff>
      <xdr:row>50</xdr:row>
      <xdr:rowOff>88920</xdr:rowOff>
    </xdr:to>
    <xdr:graphicFrame>
      <xdr:nvGraphicFramePr>
        <xdr:cNvPr id="1" name="Chart 1"/>
        <xdr:cNvGraphicFramePr/>
      </xdr:nvGraphicFramePr>
      <xdr:xfrm>
        <a:off x="20175840" y="8548920"/>
        <a:ext cx="7633080" cy="4385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18</xdr:col>
      <xdr:colOff>2986200</xdr:colOff>
      <xdr:row>12</xdr:row>
      <xdr:rowOff>38880</xdr:rowOff>
    </xdr:from>
    <xdr:to>
      <xdr:col>26</xdr:col>
      <xdr:colOff>209160</xdr:colOff>
      <xdr:row>37</xdr:row>
      <xdr:rowOff>24480</xdr:rowOff>
    </xdr:to>
    <xdr:graphicFrame>
      <xdr:nvGraphicFramePr>
        <xdr:cNvPr id="2" name="Chart 1"/>
        <xdr:cNvGraphicFramePr/>
      </xdr:nvGraphicFramePr>
      <xdr:xfrm>
        <a:off x="16991280" y="2662200"/>
        <a:ext cx="8153640" cy="4748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265" createdVersion="3">
  <cacheSource type="worksheet">
    <worksheetSource ref="C1:C266" sheet="ResponseTimes"/>
  </cacheSource>
  <cacheFields count="1">
    <cacheField name="Difference (mm:ss.000)" numFmtId="0">
      <sharedItems containsString="0" containsBlank="1" containsNumber="1" minValue="3.2037037037037E-005" maxValue="0.00186929398148148" count="264">
        <n v="3.2037037037037E-005"/>
        <n v="3.7974537037037E-005"/>
        <n v="3.89351967592593E-005"/>
        <n v="5.76388888888889E-005"/>
        <n v="5.78819328703704E-005"/>
        <n v="6.43634259259259E-005"/>
        <n v="6.59259259259259E-005"/>
        <n v="7.10532407407408E-005"/>
        <n v="7.20023032407407E-005"/>
        <n v="7.48726851851852E-005"/>
        <n v="7.81365740740741E-005"/>
        <n v="8.27662037037037E-005"/>
        <n v="8.38773148148148E-005"/>
        <n v="8.68402777777778E-005"/>
        <n v="8.77662037037037E-005"/>
        <n v="9.27199074074074E-005"/>
        <n v="9.30092592592593E-005"/>
        <n v="9.34027777777778E-005"/>
        <n v="9.35185185185185E-005"/>
        <n v="9.58796180555556E-005"/>
        <n v="9.63773148148148E-005"/>
        <n v="9.76157407407407E-005"/>
        <n v="9.78356481481481E-005"/>
        <n v="9.79050925925926E-005"/>
        <n v="0.000100023148148148"/>
        <n v="0.000101273148148148"/>
        <n v="0.000103668981481482"/>
        <n v="0.00010412037037037"/>
        <n v="0.000105335648148148"/>
        <n v="0.000105925925925926"/>
        <n v="0.00010712962962963"/>
        <n v="0.000107685185185185"/>
        <n v="0.000108599537037037"/>
        <n v="0.000109409722222222"/>
        <n v="0.000110358796296296"/>
        <n v="0.000111527777777778"/>
        <n v="0.000111643518518519"/>
        <n v="0.000111770833333333"/>
        <n v="0.000114953703703704"/>
        <n v="0.000115150462962963"/>
        <n v="0.000116111111111111"/>
        <n v="0.000117152777777778"/>
        <n v="0.000118252314814815"/>
        <n v="0.000118425925925926"/>
        <n v="0.000118946770833333"/>
        <n v="0.000119398148148148"/>
        <n v="0.000120173611111111"/>
        <n v="0.000120416666666667"/>
        <n v="0.00012099537037037"/>
        <n v="0.00012125"/>
        <n v="0.000122534722222222"/>
        <n v="0.000123032407407407"/>
        <n v="0.000124502314814815"/>
        <n v="0.000124861111111111"/>
        <n v="0.000125439814814815"/>
        <n v="0.000125532407407407"/>
        <n v="0.000126053240740741"/>
        <n v="0.000127280092592593"/>
        <n v="0.000127708333333333"/>
        <n v="0.000127893518518519"/>
        <n v="0.000128402777777778"/>
        <n v="0.00012849537037037"/>
        <n v="0.000128680555555556"/>
        <n v="0.000130335648148148"/>
        <n v="0.0001315625"/>
        <n v="0.000133553240740741"/>
        <n v="0.000133576388888889"/>
        <n v="0.000134710648148148"/>
        <n v="0.000135983796296296"/>
        <n v="0.000136030092592593"/>
        <n v="0.000136574074074074"/>
        <n v="0.000136712962962963"/>
        <n v="0.000136944444444444"/>
        <n v="0.000136944456018519"/>
        <n v="0.000137395833333333"/>
        <n v="0.000138148148148148"/>
        <n v="0.000139606481481481"/>
        <n v="0.000139884259259259"/>
        <n v="0.00014181712962963"/>
        <n v="0.000142696759259259"/>
        <n v="0.000142731481481482"/>
        <n v="0.00014290508988779"/>
        <n v="0.000143055555555556"/>
        <n v="0.000143217592592593"/>
        <n v="0.000144212962962963"/>
        <n v="0.000144270833333333"/>
        <n v="0.000144583333333333"/>
        <n v="0.000145277777777778"/>
        <n v="0.000146331030092593"/>
        <n v="0.000148564814814815"/>
        <n v="0.000150706018518519"/>
        <n v="0.000151111111111111"/>
        <n v="0.000151678240740741"/>
        <n v="0.000151875011574074"/>
        <n v="0.00015212962962963"/>
        <n v="0.00015214119212963"/>
        <n v="0.000152141203703704"/>
        <n v="0.000152777777777778"/>
        <n v="0.000153240740740741"/>
        <n v="0.00015375"/>
        <n v="0.000154722222222222"/>
        <n v="0.000156134259259259"/>
        <n v="0.000156354166666667"/>
        <n v="0.000156909722222222"/>
        <n v="0.000158229166666667"/>
        <n v="0.000158726851851852"/>
        <n v="0.000159074074074074"/>
        <n v="0.000160856481481481"/>
        <n v="0.000161087962962963"/>
        <n v="0.000162893518518519"/>
        <n v="0.00016337962962963"/>
        <n v="0.000163414351851852"/>
        <n v="0.000164953703703704"/>
        <n v="0.000165439814814815"/>
        <n v="0.000166550925925926"/>
        <n v="0.000167731481481481"/>
        <n v="0.00016787037037037"/>
        <n v="0.000169305555555556"/>
        <n v="0.000170648148148148"/>
        <n v="0.000173043981481481"/>
        <n v="0.000173634259259259"/>
        <n v="0.00017380787037037"/>
        <n v="0.000174363425925926"/>
        <n v="0.000175277777777778"/>
        <n v="0.000176030092592593"/>
        <n v="0.00017619212962963"/>
        <n v="0.000176712962962963"/>
        <n v="0.000177083333333333"/>
        <n v="0.000177314814814815"/>
        <n v="0.0001775"/>
        <n v="0.000177685185185185"/>
        <n v="0.000178657407407407"/>
        <n v="0.000178726851851852"/>
        <n v="0.000179965277777778"/>
        <n v="0.000180393518518519"/>
        <n v="0.000180868055555556"/>
        <n v="0.000180972222222222"/>
        <n v="0.000181018518518519"/>
        <n v="0.000182094907407407"/>
        <n v="0.000184328703703704"/>
        <n v="0.000185162037037037"/>
        <n v="0.000185821759259259"/>
        <n v="0.000185983796296296"/>
        <n v="0.000186145833333333"/>
        <n v="0.000186712962962963"/>
        <n v="0.000187708333333333"/>
        <n v="0.000187731481481481"/>
        <n v="0.00018880787037037"/>
        <n v="0.000190231481481482"/>
        <n v="0.000190821759259259"/>
        <n v="0.000191342592592593"/>
        <n v="0.000192303240740741"/>
        <n v="0.000193356481481481"/>
        <n v="0.000194236111111111"/>
        <n v="0.000195092592592593"/>
        <n v="0.000195509259259259"/>
        <n v="0.000195671296296296"/>
        <n v="0.000196527777777778"/>
        <n v="0.000196608796296296"/>
        <n v="0.000197326388888889"/>
        <n v="0.000199571759259259"/>
        <n v="0.000199606481481481"/>
        <n v="0.000201435185185185"/>
        <n v="0.000203611111111111"/>
        <n v="0.000204212962962963"/>
        <n v="0.000205833333333333"/>
        <n v="0.000207962962962963"/>
        <n v="0.000208738425925926"/>
        <n v="0.000211481481481481"/>
        <n v="0.000212025462962963"/>
        <n v="0.000217708333333333"/>
        <n v="0.000218321759259259"/>
        <n v="0.000219409722222222"/>
        <n v="0.000219826388888889"/>
        <n v="0.000220196759259259"/>
        <n v="0.000220983796296296"/>
        <n v="0.000223344907407407"/>
        <n v="0.00022431712962963"/>
        <n v="0.00022505787037037"/>
        <n v="0.000227592592592593"/>
        <n v="0.000228981493055556"/>
        <n v="0.000231331018518519"/>
        <n v="0.000237662037037037"/>
        <n v="0.000237974537037037"/>
        <n v="0.000238657407407407"/>
        <n v="0.000238819444444444"/>
        <n v="0.000240185185185185"/>
        <n v="0.00024162037037037"/>
        <n v="0.000245590277777778"/>
        <n v="0.000245925925925926"/>
        <n v="0.000249178240740741"/>
        <n v="0.000249444444444444"/>
        <n v="0.0002496875"/>
        <n v="0.000252210648148148"/>
        <n v="0.000255763888888889"/>
        <n v="0.000256087962962963"/>
        <n v="0.000260902777777778"/>
        <n v="0.000261122685185185"/>
        <n v="0.000261469907407407"/>
        <n v="0.000265868055555556"/>
        <n v="0.000266585648148148"/>
        <n v="0.000270844907407407"/>
        <n v="0.000271481481481482"/>
        <n v="0.000272488425925926"/>
        <n v="0.00027525462962963"/>
        <n v="0.000277453703703704"/>
        <n v="0.000278449074074074"/>
        <n v="0.000280358796296296"/>
        <n v="0.000282581018518519"/>
        <n v="0.000286689814814815"/>
        <n v="0.000287268518518519"/>
        <n v="0.000287974537037037"/>
        <n v="0.000289467592592593"/>
        <n v="0.00029818287037037"/>
        <n v="0.000299837962962963"/>
        <n v="0.000300300925925926"/>
        <n v="0.000303819444444444"/>
        <n v="0.000306805555555556"/>
        <n v="0.000308553240740741"/>
        <n v="0.000310405092592593"/>
        <n v="0.000311770833333333"/>
        <n v="0.000312118055555556"/>
        <n v="0.00031369212962963"/>
        <n v="0.000314606481481481"/>
        <n v="0.00031625"/>
        <n v="0.000324189814814815"/>
        <n v="0.000324293981481481"/>
        <n v="0.000329178240740741"/>
        <n v="0.000333194444444444"/>
        <n v="0.000340486111111111"/>
        <n v="0.000343912037037037"/>
        <n v="0.000347858796296296"/>
        <n v="0.000349768518518519"/>
        <n v="0.000359710648148148"/>
        <n v="0.000365347222222222"/>
        <n v="0.000365914351851852"/>
        <n v="0.000370613425925926"/>
        <n v="0.000374571759259259"/>
        <n v="0.000376863425925926"/>
        <n v="0.0003859490625"/>
        <n v="0.000388206018518518"/>
        <n v="0.000388298611111111"/>
        <n v="0.000392696759259259"/>
        <n v="0.000394421296296296"/>
        <n v="0.000396388888888889"/>
        <n v="0.000402534722222222"/>
        <n v="0.000412766203703704"/>
        <n v="0.000442453703703704"/>
        <n v="0.000485844907407407"/>
        <n v="0.000487511574074074"/>
        <n v="0.000491446759259259"/>
        <n v="0.000518877314814815"/>
        <n v="0.000521597222222222"/>
        <n v="0.000566273148148148"/>
        <n v="0.000585902777777778"/>
        <n v="0.000589571759259259"/>
        <n v="0.000645902766203704"/>
        <n v="0.000805717592592593"/>
        <n v="0.000821412037037037"/>
        <n v="0.00101331018518519"/>
        <n v="0.00103039351851852"/>
        <n v="0.00129134259259259"/>
        <n v="0.00186929398148148"/>
        <m/>
      </sharedItems>
    </cacheField>
  </cacheFields>
</pivotCacheDefinition>
</file>

<file path=xl/pivotCache/pivotCacheRecords1.xml><?xml version="1.0" encoding="utf-8"?>
<pivotCacheRecords xmlns="http://schemas.openxmlformats.org/spreadsheetml/2006/main" xmlns:r="http://schemas.openxmlformats.org/officeDocument/2006/relationships" count="265">
  <r>
    <x v="7"/>
  </r>
  <r>
    <x v="111"/>
  </r>
  <r>
    <x v="11"/>
  </r>
  <r>
    <x v="101"/>
  </r>
  <r>
    <x v="16"/>
  </r>
  <r>
    <x v="17"/>
  </r>
  <r>
    <x v="3"/>
  </r>
  <r>
    <x v="4"/>
  </r>
  <r>
    <x v="189"/>
  </r>
  <r>
    <x v="138"/>
  </r>
  <r>
    <x v="168"/>
  </r>
  <r>
    <x v="70"/>
  </r>
  <r>
    <x v="205"/>
  </r>
  <r>
    <x v="128"/>
  </r>
  <r>
    <x v="229"/>
  </r>
  <r>
    <x v="178"/>
  </r>
  <r>
    <x v="245"/>
  </r>
  <r>
    <x v="210"/>
  </r>
  <r>
    <x v="21"/>
  </r>
  <r>
    <x v="137"/>
  </r>
  <r>
    <x v="15"/>
  </r>
  <r>
    <x v="148"/>
  </r>
  <r>
    <x v="202"/>
  </r>
  <r>
    <x v="197"/>
  </r>
  <r>
    <x v="263"/>
  </r>
  <r>
    <x v="81"/>
  </r>
  <r>
    <x v="254"/>
  </r>
  <r>
    <x v="225"/>
  </r>
  <r>
    <x v="208"/>
  </r>
  <r>
    <x v="257"/>
  </r>
  <r>
    <x v="237"/>
  </r>
  <r>
    <x v="219"/>
  </r>
  <r>
    <x v="231"/>
  </r>
  <r>
    <x v="215"/>
  </r>
  <r>
    <x v="247"/>
  </r>
  <r>
    <x v="243"/>
  </r>
  <r>
    <x v="19"/>
  </r>
  <r>
    <x v="97"/>
  </r>
  <r>
    <x v="220"/>
  </r>
  <r>
    <x v="123"/>
  </r>
  <r>
    <x v="31"/>
  </r>
  <r>
    <x v="182"/>
  </r>
  <r>
    <x v="84"/>
  </r>
  <r>
    <x v="98"/>
  </r>
  <r>
    <x v="235"/>
  </r>
  <r>
    <x v="250"/>
  </r>
  <r>
    <x v="241"/>
  </r>
  <r>
    <x v="171"/>
  </r>
  <r>
    <x v="206"/>
  </r>
  <r>
    <x v="256"/>
  </r>
  <r>
    <x v="260"/>
  </r>
  <r>
    <x v="79"/>
  </r>
  <r>
    <x v="120"/>
  </r>
  <r>
    <x v="185"/>
  </r>
  <r>
    <x v="107"/>
  </r>
  <r>
    <x v="63"/>
  </r>
  <r>
    <x v="184"/>
  </r>
  <r>
    <x v="173"/>
  </r>
  <r>
    <x v="117"/>
  </r>
  <r>
    <x v="114"/>
  </r>
  <r>
    <x v="212"/>
  </r>
  <r>
    <x v="153"/>
  </r>
  <r>
    <x v="226"/>
  </r>
  <r>
    <x v="78"/>
  </r>
  <r>
    <x v="6"/>
  </r>
  <r>
    <x v="160"/>
  </r>
  <r>
    <x v="60"/>
  </r>
  <r>
    <x v="73"/>
  </r>
  <r>
    <x v="154"/>
  </r>
  <r>
    <x v="164"/>
  </r>
  <r>
    <x v="179"/>
  </r>
  <r>
    <x v="156"/>
  </r>
  <r>
    <x v="18"/>
  </r>
  <r>
    <x v="176"/>
  </r>
  <r>
    <x v="22"/>
  </r>
  <r>
    <x v="35"/>
  </r>
  <r>
    <x v="92"/>
  </r>
  <r>
    <x v="65"/>
  </r>
  <r>
    <x v="82"/>
  </r>
  <r>
    <x v="158"/>
  </r>
  <r>
    <x v="47"/>
  </r>
  <r>
    <x v="258"/>
  </r>
  <r>
    <x v="39"/>
  </r>
  <r>
    <x v="89"/>
  </r>
  <r>
    <x v="30"/>
  </r>
  <r>
    <x v="54"/>
  </r>
  <r>
    <x v="91"/>
  </r>
  <r>
    <x v="9"/>
  </r>
  <r>
    <x v="69"/>
  </r>
  <r>
    <x v="96"/>
  </r>
  <r>
    <x v="253"/>
  </r>
  <r>
    <x v="1"/>
  </r>
  <r>
    <x v="61"/>
  </r>
  <r>
    <x v="80"/>
  </r>
  <r>
    <x v="232"/>
  </r>
  <r>
    <x v="236"/>
  </r>
  <r>
    <x v="49"/>
  </r>
  <r>
    <x v="42"/>
  </r>
  <r>
    <x v="136"/>
  </r>
  <r>
    <x v="124"/>
  </r>
  <r>
    <x v="110"/>
  </r>
  <r>
    <x v="127"/>
  </r>
  <r>
    <x v="207"/>
  </r>
  <r>
    <x v="44"/>
  </r>
  <r>
    <x v="36"/>
  </r>
  <r>
    <x v="181"/>
  </r>
  <r>
    <x v="170"/>
  </r>
  <r>
    <x v="166"/>
  </r>
  <r>
    <x v="8"/>
  </r>
  <r>
    <x v="45"/>
  </r>
  <r>
    <x v="240"/>
  </r>
  <r>
    <x v="113"/>
  </r>
  <r>
    <x v="180"/>
  </r>
  <r>
    <x v="77"/>
  </r>
  <r>
    <x v="99"/>
  </r>
  <r>
    <x v="23"/>
  </r>
  <r>
    <x v="75"/>
  </r>
  <r>
    <x v="62"/>
  </r>
  <r>
    <x v="38"/>
  </r>
  <r>
    <x v="67"/>
  </r>
  <r>
    <x v="28"/>
  </r>
  <r>
    <x v="183"/>
  </r>
  <r>
    <x v="157"/>
  </r>
  <r>
    <x v="105"/>
  </r>
  <r>
    <x v="261"/>
  </r>
  <r>
    <x v="193"/>
  </r>
  <r>
    <x v="222"/>
  </r>
  <r>
    <x v="195"/>
  </r>
  <r>
    <x v="135"/>
  </r>
  <r>
    <x v="14"/>
  </r>
  <r>
    <x v="106"/>
  </r>
  <r>
    <x v="20"/>
  </r>
  <r>
    <x v="194"/>
  </r>
  <r>
    <x v="86"/>
  </r>
  <r>
    <x v="93"/>
  </r>
  <r>
    <x v="64"/>
  </r>
  <r>
    <x v="199"/>
  </r>
  <r>
    <x v="145"/>
  </r>
  <r>
    <x v="169"/>
  </r>
  <r>
    <x v="95"/>
  </r>
  <r>
    <x v="43"/>
  </r>
  <r>
    <x v="139"/>
  </r>
  <r>
    <x v="13"/>
  </r>
  <r>
    <x v="217"/>
  </r>
  <r>
    <x v="88"/>
  </r>
  <r>
    <x v="141"/>
  </r>
  <r>
    <x v="24"/>
  </r>
  <r>
    <x v="129"/>
  </r>
  <r>
    <x v="161"/>
  </r>
  <r>
    <x v="52"/>
  </r>
  <r>
    <x v="119"/>
  </r>
  <r>
    <x v="103"/>
  </r>
  <r>
    <x v="118"/>
  </r>
  <r>
    <x v="94"/>
  </r>
  <r>
    <x v="151"/>
  </r>
  <r>
    <x v="126"/>
  </r>
  <r>
    <x v="143"/>
  </r>
  <r>
    <x v="140"/>
  </r>
  <r>
    <x v="109"/>
  </r>
  <r>
    <x v="174"/>
  </r>
  <r>
    <x v="87"/>
  </r>
  <r>
    <x v="234"/>
  </r>
  <r>
    <x v="149"/>
  </r>
  <r>
    <x v="191"/>
  </r>
  <r>
    <x v="37"/>
  </r>
  <r>
    <x v="48"/>
  </r>
  <r>
    <x v="244"/>
  </r>
  <r>
    <x v="255"/>
  </r>
  <r>
    <x v="85"/>
  </r>
  <r>
    <x v="172"/>
  </r>
  <r>
    <x v="233"/>
  </r>
  <r>
    <x v="251"/>
  </r>
  <r>
    <x v="175"/>
  </r>
  <r>
    <x v="242"/>
  </r>
  <r>
    <x v="192"/>
  </r>
  <r>
    <x v="142"/>
  </r>
  <r>
    <x v="83"/>
  </r>
  <r>
    <x v="130"/>
  </r>
  <r>
    <x v="221"/>
  </r>
  <r>
    <x v="133"/>
  </r>
  <r>
    <x v="252"/>
  </r>
  <r>
    <x v="147"/>
  </r>
  <r>
    <x v="230"/>
  </r>
  <r>
    <x v="159"/>
  </r>
  <r>
    <x v="187"/>
  </r>
  <r>
    <x v="248"/>
  </r>
  <r>
    <x v="259"/>
  </r>
  <r>
    <x v="102"/>
  </r>
  <r>
    <x v="155"/>
  </r>
  <r>
    <x v="122"/>
  </r>
  <r>
    <x v="68"/>
  </r>
  <r>
    <x v="115"/>
  </r>
  <r>
    <x v="51"/>
  </r>
  <r>
    <x v="216"/>
  </r>
  <r>
    <x v="100"/>
  </r>
  <r>
    <x v="29"/>
  </r>
  <r>
    <x v="162"/>
  </r>
  <r>
    <x v="204"/>
  </r>
  <r>
    <x v="238"/>
  </r>
  <r>
    <x v="134"/>
  </r>
  <r>
    <x v="246"/>
  </r>
  <r>
    <x v="223"/>
  </r>
  <r>
    <x v="144"/>
  </r>
  <r>
    <x v="108"/>
  </r>
  <r>
    <x v="211"/>
  </r>
  <r>
    <x v="262"/>
  </r>
  <r>
    <x v="112"/>
  </r>
  <r>
    <x v="59"/>
  </r>
  <r>
    <x v="186"/>
  </r>
  <r>
    <x v="66"/>
  </r>
  <r>
    <x v="121"/>
  </r>
  <r>
    <x v="165"/>
  </r>
  <r>
    <x v="72"/>
  </r>
  <r>
    <x v="33"/>
  </r>
  <r>
    <x v="132"/>
  </r>
  <r>
    <x v="46"/>
  </r>
  <r>
    <x v="90"/>
  </r>
  <r>
    <x v="104"/>
  </r>
  <r>
    <x v="209"/>
  </r>
  <r>
    <x v="0"/>
  </r>
  <r>
    <x v="2"/>
  </r>
  <r>
    <x v="188"/>
  </r>
  <r>
    <x v="5"/>
  </r>
  <r>
    <x v="249"/>
  </r>
  <r>
    <x v="10"/>
  </r>
  <r>
    <x v="57"/>
  </r>
  <r>
    <x v="190"/>
  </r>
  <r>
    <x v="131"/>
  </r>
  <r>
    <x v="26"/>
  </r>
  <r>
    <x v="228"/>
  </r>
  <r>
    <x v="177"/>
  </r>
  <r>
    <x v="34"/>
  </r>
  <r>
    <x v="218"/>
  </r>
  <r>
    <x v="224"/>
  </r>
  <r>
    <x v="76"/>
  </r>
  <r>
    <x v="201"/>
  </r>
  <r>
    <x v="239"/>
  </r>
  <r>
    <x v="200"/>
  </r>
  <r>
    <x v="227"/>
  </r>
  <r>
    <x v="116"/>
  </r>
  <r>
    <x v="25"/>
  </r>
  <r>
    <x v="213"/>
  </r>
  <r>
    <x v="196"/>
  </r>
  <r>
    <x v="198"/>
  </r>
  <r>
    <x v="12"/>
  </r>
  <r>
    <x v="163"/>
  </r>
  <r>
    <x v="46"/>
  </r>
  <r>
    <x v="146"/>
  </r>
  <r>
    <x v="50"/>
  </r>
  <r>
    <x v="56"/>
  </r>
  <r>
    <x v="214"/>
  </r>
  <r>
    <x v="58"/>
  </r>
  <r>
    <x v="150"/>
  </r>
  <r>
    <x v="41"/>
  </r>
  <r>
    <x v="53"/>
  </r>
  <r>
    <x v="125"/>
  </r>
  <r>
    <x v="55"/>
  </r>
  <r>
    <x v="167"/>
  </r>
  <r>
    <x v="32"/>
  </r>
  <r>
    <x v="71"/>
  </r>
  <r>
    <x v="40"/>
  </r>
  <r>
    <x v="203"/>
  </r>
  <r>
    <x v="74"/>
  </r>
  <r>
    <x v="27"/>
  </r>
  <r>
    <x v="152"/>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0" dataCaption="Values" showDrill="1" useAutoFormatting="0" itemPrintTitles="1" indent="0" outline="1" outlineData="1" compact="1" compactData="1">
  <location ref="F29:G293" firstHeaderRow="1" firstDataRow="1" firstDataCol="1"/>
  <pivotFields count="1">
    <pivotField axis="axisRow" dataField="1" showAll="0">
      <items count="265">
        <item h="1" x="2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4"/>
        <item x="75"/>
        <item x="76"/>
        <item x="77"/>
        <item x="78"/>
        <item x="79"/>
        <item x="80"/>
        <item x="81"/>
        <item x="82"/>
        <item x="83"/>
        <item x="84"/>
        <item x="85"/>
        <item x="86"/>
        <item x="87"/>
        <item x="88"/>
        <item x="89"/>
        <item x="90"/>
        <item x="91"/>
        <item x="92"/>
        <item x="93"/>
        <item x="94"/>
        <item x="95"/>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h="1" x="73"/>
        <item h="1" x="96"/>
        <item t="default"/>
      </items>
    </pivotField>
  </pivotFields>
  <rowFields count="1">
    <field x="0"/>
  </rowFields>
  <dataFields count="1">
    <dataField name="Frequency" fld="0" subtotal="count" numFmtId="165"/>
  </dataFields>
  <formats count="1">
    <format dxfId="85">
      <pivotArea dataOnly="0" labelOnly="1" fieldPosition="0">
        <references count="1">
          <reference field="0" count="1"/>
        </references>
      </pivotArea>
    </format>
  </format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Theme">
  <a:themeElements>
    <a:clrScheme name="Custom 3">
      <a:dk1>
        <a:srgbClr val="000000"/>
      </a:dk1>
      <a:lt1>
        <a:srgbClr val="ffffff"/>
      </a:lt1>
      <a:dk2>
        <a:srgbClr val="0e2841"/>
      </a:dk2>
      <a:lt2>
        <a:srgbClr val="e8e8e8"/>
      </a:lt2>
      <a:accent1>
        <a:srgbClr val="265316"/>
      </a:accent1>
      <a:accent2>
        <a:srgbClr val="b3e5a1"/>
      </a:accent2>
      <a:accent3>
        <a:srgbClr val="7f7f7f"/>
      </a:accent3>
      <a:accent4>
        <a:srgbClr val="fe8d30"/>
      </a:accent4>
      <a:accent5>
        <a:srgbClr val="c62f06"/>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2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U45"/>
  <sheetViews>
    <sheetView showFormulas="false" showGridLines="true" showRowColHeaders="true" showZeros="true" rightToLeft="false" tabSelected="true" showOutlineSymbols="true" defaultGridColor="true" view="normal" topLeftCell="H1" colorId="64" zoomScale="100" zoomScaleNormal="100" zoomScalePageLayoutView="100" workbookViewId="0">
      <selection pane="topLeft" activeCell="G14" activeCellId="0" sqref="G14"/>
    </sheetView>
  </sheetViews>
  <sheetFormatPr defaultColWidth="8.57421875" defaultRowHeight="15" zeroHeight="false" outlineLevelRow="0" outlineLevelCol="0"/>
  <cols>
    <col collapsed="false" customWidth="true" hidden="false" outlineLevel="0" max="1" min="1" style="0" width="79.14"/>
    <col collapsed="false" customWidth="true" hidden="false" outlineLevel="0" max="3" min="2" style="0" width="15.71"/>
  </cols>
  <sheetData>
    <row r="3" customFormat="false" ht="15" hidden="false" customHeight="false" outlineLevel="0" collapsed="false">
      <c r="A3" s="0" t="s">
        <v>0</v>
      </c>
      <c r="B3" s="0" t="n">
        <v>13</v>
      </c>
    </row>
    <row r="4" customFormat="false" ht="15" hidden="false" customHeight="false" outlineLevel="0" collapsed="false">
      <c r="A4" s="1" t="s">
        <v>1</v>
      </c>
      <c r="B4" s="1" t="n">
        <v>13</v>
      </c>
      <c r="C4" s="1"/>
    </row>
    <row r="5" customFormat="false" ht="15" hidden="false" customHeight="false" outlineLevel="0" collapsed="false">
      <c r="A5" s="1" t="s">
        <v>2</v>
      </c>
      <c r="B5" s="1" t="n">
        <v>11</v>
      </c>
      <c r="C5" s="2" t="n">
        <f aca="false">B5/B4</f>
        <v>0.846153846153846</v>
      </c>
      <c r="D5" s="3" t="s">
        <v>3</v>
      </c>
      <c r="E5" s="3"/>
      <c r="F5" s="3"/>
      <c r="G5" s="3"/>
      <c r="H5" s="3"/>
      <c r="I5" s="3"/>
      <c r="J5" s="3"/>
      <c r="K5" s="3"/>
      <c r="L5" s="3"/>
      <c r="M5" s="3"/>
      <c r="N5" s="3"/>
      <c r="O5" s="3"/>
      <c r="P5" s="3"/>
      <c r="Q5" s="3"/>
    </row>
    <row r="6" customFormat="false" ht="15" hidden="false" customHeight="false" outlineLevel="0" collapsed="false">
      <c r="A6" s="0" t="s">
        <v>4</v>
      </c>
      <c r="B6" s="0" t="n">
        <v>6</v>
      </c>
      <c r="D6" s="3" t="s">
        <v>5</v>
      </c>
      <c r="E6" s="3"/>
      <c r="F6" s="3"/>
      <c r="G6" s="3"/>
      <c r="H6" s="3"/>
      <c r="I6" s="3"/>
      <c r="J6" s="3"/>
      <c r="K6" s="3"/>
      <c r="L6" s="3"/>
      <c r="M6" s="3"/>
      <c r="N6" s="3"/>
      <c r="O6" s="3"/>
      <c r="P6" s="3"/>
      <c r="Q6" s="3"/>
      <c r="R6" s="3"/>
      <c r="S6" s="3"/>
      <c r="T6" s="3"/>
      <c r="U6" s="3"/>
    </row>
    <row r="7" customFormat="false" ht="15" hidden="false" customHeight="false" outlineLevel="0" collapsed="false">
      <c r="A7" s="0" t="s">
        <v>6</v>
      </c>
      <c r="B7" s="0" t="n">
        <v>7</v>
      </c>
    </row>
    <row r="8" customFormat="false" ht="15" hidden="false" customHeight="false" outlineLevel="0" collapsed="false">
      <c r="D8" s="1" t="s">
        <v>7</v>
      </c>
      <c r="E8" s="1" t="s">
        <v>8</v>
      </c>
      <c r="F8" s="1" t="s">
        <v>9</v>
      </c>
      <c r="G8" s="1" t="s">
        <v>10</v>
      </c>
      <c r="H8" s="4" t="s">
        <v>11</v>
      </c>
      <c r="I8" s="1" t="s">
        <v>12</v>
      </c>
      <c r="J8" s="1" t="s">
        <v>13</v>
      </c>
      <c r="K8" s="1" t="s">
        <v>14</v>
      </c>
      <c r="L8" s="4" t="s">
        <v>15</v>
      </c>
      <c r="M8" s="1" t="s">
        <v>16</v>
      </c>
      <c r="N8" s="1" t="s">
        <v>17</v>
      </c>
      <c r="O8" s="1" t="s">
        <v>18</v>
      </c>
      <c r="P8" s="1" t="s">
        <v>19</v>
      </c>
    </row>
    <row r="9" customFormat="false" ht="15" hidden="false" customHeight="false" outlineLevel="0" collapsed="false">
      <c r="A9" s="1" t="s">
        <v>20</v>
      </c>
      <c r="H9" s="5"/>
      <c r="L9" s="5"/>
    </row>
    <row r="10" customFormat="false" ht="15" hidden="false" customHeight="false" outlineLevel="0" collapsed="false">
      <c r="A10" s="0" t="s">
        <v>21</v>
      </c>
      <c r="D10" s="6" t="n">
        <f aca="false">(P1!S2)</f>
        <v>0.0288054513875926</v>
      </c>
      <c r="E10" s="6" t="n">
        <f aca="false">(P2!S2)</f>
        <v>0.0189096411995602</v>
      </c>
      <c r="F10" s="6" t="n">
        <f aca="false">(P3!S2)</f>
        <v>0.0237194675937616</v>
      </c>
      <c r="G10" s="6" t="n">
        <f aca="false">(P4!S2)</f>
        <v>0.0107534490743981</v>
      </c>
      <c r="H10" s="7" t="n">
        <f aca="false">(P5!S2)</f>
        <v>0.109320162038773</v>
      </c>
      <c r="I10" s="6" t="n">
        <f aca="false">(P6!S2)</f>
        <v>0.0136947916616898</v>
      </c>
      <c r="J10" s="6" t="n">
        <f aca="false">(P7!S2)</f>
        <v>11.9196340046328</v>
      </c>
      <c r="K10" s="6" t="n">
        <f aca="false">(P8!S2)</f>
        <v>0.0104354166687616</v>
      </c>
      <c r="L10" s="7" t="n">
        <f aca="false">(P9!S2)</f>
        <v>0.0459335416671759</v>
      </c>
      <c r="M10" s="6" t="n">
        <f aca="false">(P10!S2)</f>
        <v>3.10944045139331</v>
      </c>
      <c r="N10" s="6" t="n">
        <f aca="false">(P11!S2)</f>
        <v>7.21106346065061</v>
      </c>
      <c r="O10" s="6" t="n">
        <f aca="false">(P12!S2)</f>
        <v>11.3627687499975</v>
      </c>
      <c r="P10" s="6" t="n">
        <f aca="false">(P13!S2)</f>
        <v>3.20486855323543</v>
      </c>
      <c r="Q10" s="8"/>
      <c r="R10" s="8"/>
      <c r="S10" s="8"/>
      <c r="T10" s="8"/>
    </row>
    <row r="11" customFormat="false" ht="15" hidden="false" customHeight="false" outlineLevel="0" collapsed="false">
      <c r="A11" s="0" t="s">
        <v>22</v>
      </c>
      <c r="D11" s="6" t="n">
        <f aca="false">(P1!S2)</f>
        <v>0.0288054513875926</v>
      </c>
      <c r="E11" s="6" t="n">
        <f aca="false">(P2!S2)</f>
        <v>0.0189096411995602</v>
      </c>
      <c r="F11" s="6" t="n">
        <f aca="false">(P3!S2)</f>
        <v>0.0237194675937616</v>
      </c>
      <c r="G11" s="6" t="n">
        <f aca="false">(P4!S2)</f>
        <v>0.0107534490743981</v>
      </c>
      <c r="H11" s="7" t="n">
        <f aca="false">(P5!S4)</f>
        <v>0.0634245833280147</v>
      </c>
      <c r="I11" s="6" t="n">
        <f aca="false">(P6!S2)</f>
        <v>0.0136947916616898</v>
      </c>
      <c r="J11" s="6" t="n">
        <f aca="false">(P7!S4)</f>
        <v>0.0178337152829045</v>
      </c>
      <c r="K11" s="6" t="n">
        <f aca="false">(P8!S2)</f>
        <v>0.0104354166687616</v>
      </c>
      <c r="L11" s="7" t="n">
        <f aca="false">(P9!S4)</f>
        <v>0.0330493634246523</v>
      </c>
      <c r="M11" s="6" t="n">
        <f aca="false">(P10!S4)</f>
        <v>0.0295503935267334</v>
      </c>
      <c r="N11" s="6" t="n">
        <f aca="false">(P11!S4)</f>
        <v>0.0109055671346141</v>
      </c>
      <c r="O11" s="6" t="n">
        <f aca="false">(P12!S4)</f>
        <v>0.036996643517341</v>
      </c>
      <c r="P11" s="6" t="n">
        <f aca="false">(P13!S4)</f>
        <v>0.0208638541662367</v>
      </c>
      <c r="Q11" s="8"/>
      <c r="R11" s="8"/>
      <c r="S11" s="8"/>
      <c r="T11" s="8"/>
    </row>
    <row r="12" customFormat="false" ht="15" hidden="false" customHeight="false" outlineLevel="0" collapsed="false">
      <c r="A12" s="0" t="s">
        <v>23</v>
      </c>
      <c r="B12" s="6" t="n">
        <f aca="false">MAX(D10:G10,I10:K10,M10:P10)</f>
        <v>11.9196340046328</v>
      </c>
      <c r="C12" s="6"/>
    </row>
    <row r="13" customFormat="false" ht="15" hidden="false" customHeight="false" outlineLevel="0" collapsed="false">
      <c r="A13" s="0" t="s">
        <v>24</v>
      </c>
      <c r="B13" s="6" t="n">
        <f aca="false">MAX(D11:G11,I11:K11,M11:P11)</f>
        <v>0.036996643517341</v>
      </c>
      <c r="C13" s="6"/>
    </row>
    <row r="14" customFormat="false" ht="15" hidden="false" customHeight="false" outlineLevel="0" collapsed="false">
      <c r="A14" s="0" t="s">
        <v>25</v>
      </c>
      <c r="B14" s="6" t="n">
        <f aca="false">MIN(D10:G10,I10:K10,M10:P10)</f>
        <v>0.0104354166687616</v>
      </c>
      <c r="C14" s="6"/>
    </row>
    <row r="15" customFormat="false" ht="15" hidden="false" customHeight="false" outlineLevel="0" collapsed="false">
      <c r="A15" s="0" t="s">
        <v>26</v>
      </c>
      <c r="B15" s="6" t="n">
        <f aca="false">AVERAGE(D10:G10,I10:K10,M10:P10)</f>
        <v>3.35582667613595</v>
      </c>
      <c r="C15" s="6"/>
    </row>
    <row r="16" customFormat="false" ht="15" hidden="false" customHeight="false" outlineLevel="0" collapsed="false">
      <c r="A16" s="0" t="s">
        <v>27</v>
      </c>
      <c r="B16" s="6" t="n">
        <f aca="false">AVERAGE(D11:G11,I11:K11,M11:P11)</f>
        <v>0.0202243992012358</v>
      </c>
      <c r="C16" s="6"/>
    </row>
    <row r="17" customFormat="false" ht="15" hidden="false" customHeight="false" outlineLevel="0" collapsed="false">
      <c r="A17" s="1" t="s">
        <v>28</v>
      </c>
      <c r="B17" s="9" t="n">
        <f aca="false">MEDIAN(D10:G10,I10:K10,M10:P10)</f>
        <v>0.0288054513875926</v>
      </c>
      <c r="C17" s="9"/>
    </row>
    <row r="18" customFormat="false" ht="15" hidden="false" customHeight="false" outlineLevel="0" collapsed="false">
      <c r="A18" s="1" t="s">
        <v>29</v>
      </c>
      <c r="B18" s="9" t="n">
        <f aca="false">MEDIAN(D11:G11,I11:K11,M11:P11)</f>
        <v>0.0189096411995602</v>
      </c>
      <c r="C18" s="9"/>
    </row>
    <row r="19" customFormat="false" ht="15" hidden="false" customHeight="false" outlineLevel="0" collapsed="false">
      <c r="A19" s="1"/>
    </row>
    <row r="20" customFormat="false" ht="15" hidden="false" customHeight="false" outlineLevel="0" collapsed="false">
      <c r="A20" s="1" t="s">
        <v>30</v>
      </c>
    </row>
    <row r="21" customFormat="false" ht="15" hidden="false" customHeight="false" outlineLevel="0" collapsed="false">
      <c r="A21" s="0" t="s">
        <v>31</v>
      </c>
      <c r="B21" s="0" t="n">
        <v>17</v>
      </c>
    </row>
    <row r="22" customFormat="false" ht="15" hidden="false" customHeight="false" outlineLevel="0" collapsed="false">
      <c r="A22" s="0" t="s">
        <v>32</v>
      </c>
      <c r="B22" s="0" t="n">
        <v>122</v>
      </c>
    </row>
    <row r="23" customFormat="false" ht="15" hidden="false" customHeight="false" outlineLevel="0" collapsed="false">
      <c r="A23" s="0" t="s">
        <v>33</v>
      </c>
      <c r="B23" s="0" t="n">
        <v>337</v>
      </c>
    </row>
    <row r="24" customFormat="false" ht="15" hidden="false" customHeight="false" outlineLevel="0" collapsed="false">
      <c r="G24" s="0" t="s">
        <v>34</v>
      </c>
    </row>
    <row r="25" customFormat="false" ht="15" hidden="false" customHeight="false" outlineLevel="0" collapsed="false">
      <c r="A25" s="0" t="s">
        <v>35</v>
      </c>
      <c r="B25" s="0" t="n">
        <f aca="true" t="array" ref="B25:B25">SUM(COUNTIF(INDIRECT("'"&amp;{"P1","P2","P3","P4","P6","P7","P8","P10","P11","P12","P13"}&amp;"'!N7:N200"),"agent"))</f>
        <v>47918</v>
      </c>
      <c r="D25" s="0" t="s">
        <v>36</v>
      </c>
      <c r="F25" s="0" t="n">
        <f aca="false">SUM(P1:P13!R2)</f>
        <v>125</v>
      </c>
      <c r="G25" s="10" t="n">
        <f aca="false">(47/F25)</f>
        <v>0.376</v>
      </c>
    </row>
    <row r="26" customFormat="false" ht="15" hidden="false" customHeight="false" outlineLevel="0" collapsed="false">
      <c r="A26" s="0" t="s">
        <v>37</v>
      </c>
      <c r="B26" s="0" t="n">
        <f aca="true" t="array" ref="B26:B26">SUM(COUNTIF(INDIRECT("'"&amp;{"P1","P2","P3","P4","P6","P7","P8","P10","P11","P12","P13"}&amp;"'!N7:N200"),"user"))</f>
        <v>45784</v>
      </c>
      <c r="D26" s="0" t="s">
        <v>38</v>
      </c>
      <c r="F26" s="0" t="n">
        <f aca="false">SUM(P1:P13!R3)</f>
        <v>133</v>
      </c>
      <c r="G26" s="10" t="n">
        <f aca="false">(15/F26)</f>
        <v>0.112781954887218</v>
      </c>
    </row>
    <row r="27" customFormat="false" ht="15" hidden="false" customHeight="false" outlineLevel="0" collapsed="false">
      <c r="D27" s="0" t="s">
        <v>39</v>
      </c>
      <c r="F27" s="0" t="n">
        <f aca="false">SUM(P1:P13!R4)</f>
        <v>40</v>
      </c>
      <c r="G27" s="10" t="n">
        <f aca="false">(17/F27)</f>
        <v>0.425</v>
      </c>
    </row>
    <row r="28" customFormat="false" ht="15" hidden="false" customHeight="false" outlineLevel="0" collapsed="false">
      <c r="A28" s="0" t="s">
        <v>40</v>
      </c>
      <c r="B28" s="11" t="n">
        <f aca="false">1-(SUM(P1:P4!F2,P6:P8!F2,P10:P13!F2)/COUNTA(P1:P4!F2,P6:P8!F2,P10:P13!F2))</f>
        <v>0.103781037542999</v>
      </c>
      <c r="C28" s="10"/>
    </row>
    <row r="29" customFormat="false" ht="15" hidden="false" customHeight="false" outlineLevel="0" collapsed="false">
      <c r="A29" s="1" t="s">
        <v>41</v>
      </c>
      <c r="B29" s="12" t="n">
        <f aca="false">SUM(P1:P4!G2,P7:P8!G2,P10:P13!G2)/COUNTA(P1:P4!G2,P7:P8!G2,P10:P13!G2)</f>
        <v>0.686904761904762</v>
      </c>
      <c r="C29" s="0" t="s">
        <v>42</v>
      </c>
    </row>
    <row r="30" customFormat="false" ht="15" hidden="false" customHeight="false" outlineLevel="0" collapsed="false">
      <c r="B30" s="2"/>
      <c r="C30" s="2"/>
    </row>
    <row r="31" customFormat="false" ht="15" hidden="false" customHeight="false" outlineLevel="0" collapsed="false">
      <c r="A31" s="1" t="s">
        <v>43</v>
      </c>
      <c r="B31" s="12" t="n">
        <f aca="false">SUM(P1:P4!I2,P6:P8!I2,P10:P13!I2)/COUNTA(P1:P4!I2,P6:P8!I2,P10:P13!I2)</f>
        <v>0.740862352770599</v>
      </c>
      <c r="C31" s="2"/>
    </row>
    <row r="32" customFormat="false" ht="15" hidden="false" customHeight="false" outlineLevel="0" collapsed="false">
      <c r="B32" s="2"/>
      <c r="C32" s="2"/>
    </row>
    <row r="33" customFormat="false" ht="15" hidden="false" customHeight="false" outlineLevel="0" collapsed="false">
      <c r="A33" s="1" t="s">
        <v>44</v>
      </c>
      <c r="B33" s="12" t="n">
        <f aca="false">SUM(P1:P4!D2,P6:P8!D2,P10:P13!D2)/COUNTA(P1:P4!D2,P6:P8!D2,P10:P13!D2)</f>
        <v>0.803716733019588</v>
      </c>
      <c r="C33" s="12" t="n">
        <f aca="false">SUM(P1:P13!D2)/COUNTA(P1:P13!D2)</f>
        <v>0.736288487491958</v>
      </c>
      <c r="D33" s="1" t="n">
        <f aca="false">C33*247</f>
        <v>181.863256410514</v>
      </c>
    </row>
    <row r="34" customFormat="false" ht="15" hidden="false" customHeight="false" outlineLevel="0" collapsed="false">
      <c r="B34" s="2"/>
      <c r="C34" s="2"/>
    </row>
    <row r="35" customFormat="false" ht="15" hidden="false" customHeight="false" outlineLevel="0" collapsed="false">
      <c r="A35" s="1" t="s">
        <v>45</v>
      </c>
      <c r="B35" s="12" t="n">
        <f aca="false">SUM(P1:P4!C2,P6:P13!C2)/COUNTA(P1:P4!C2,P6:P13!C2)</f>
        <v>0.472880367181838</v>
      </c>
      <c r="C35" s="2"/>
    </row>
    <row r="36" customFormat="false" ht="15" hidden="false" customHeight="false" outlineLevel="0" collapsed="false">
      <c r="B36" s="2"/>
      <c r="C36" s="2"/>
    </row>
    <row r="37" customFormat="false" ht="15" hidden="false" customHeight="false" outlineLevel="0" collapsed="false">
      <c r="A37" s="1" t="s">
        <v>46</v>
      </c>
      <c r="B37" s="12" t="n">
        <f aca="false">SUM(P1:P4!L2,P6:P8!L2,P10:P13!L2)/COUNTA(P1:P4!L2,P6:P8!L2,P10:P13!L2)</f>
        <v>0.760475383202656</v>
      </c>
      <c r="C37" s="2"/>
    </row>
    <row r="38" customFormat="false" ht="15" hidden="false" customHeight="false" outlineLevel="0" collapsed="false">
      <c r="B38" s="10"/>
      <c r="C38" s="10"/>
    </row>
    <row r="39" customFormat="false" ht="15" hidden="false" customHeight="false" outlineLevel="0" collapsed="false">
      <c r="B39" s="10"/>
      <c r="C39" s="10"/>
    </row>
    <row r="40" customFormat="false" ht="15" hidden="false" customHeight="false" outlineLevel="0" collapsed="false">
      <c r="A40" s="0" t="s">
        <v>47</v>
      </c>
      <c r="B40" s="11" t="n">
        <f aca="false">SUM(P1:P4!K6,P6:P8!K6,P10:P13!K6)/B26</f>
        <v>0</v>
      </c>
      <c r="C40" s="10"/>
    </row>
    <row r="41" customFormat="false" ht="15" hidden="false" customHeight="false" outlineLevel="0" collapsed="false">
      <c r="A41" s="0" t="s">
        <v>48</v>
      </c>
      <c r="B41" s="11" t="n">
        <f aca="false">SUM(P1:P4!K5,P6:P8!K5,P10:P13!K5)/B26</f>
        <v>0.000131050148523502</v>
      </c>
      <c r="C41" s="10"/>
    </row>
    <row r="42" customFormat="false" ht="15" hidden="false" customHeight="false" outlineLevel="0" collapsed="false">
      <c r="A42" s="0" t="s">
        <v>49</v>
      </c>
      <c r="B42" s="11" t="n">
        <f aca="false">SUM(P1:P4!K4,P6:P8!K4,P10:P13!K4)/B26</f>
        <v>0.00491438056963131</v>
      </c>
      <c r="C42" s="10"/>
    </row>
    <row r="43" customFormat="false" ht="15" hidden="false" customHeight="false" outlineLevel="0" collapsed="false">
      <c r="A43" s="0" t="s">
        <v>50</v>
      </c>
      <c r="B43" s="11" t="n">
        <f aca="false">SUM(P1:P4!K3,P6:P8!K3,P10:P13!K3)/B26</f>
        <v>0.000109208457102918</v>
      </c>
      <c r="C43" s="10"/>
    </row>
    <row r="44" customFormat="false" ht="15" hidden="false" customHeight="false" outlineLevel="0" collapsed="false">
      <c r="A44" s="0" t="s">
        <v>51</v>
      </c>
      <c r="B44" s="11" t="n">
        <f aca="false">SUM(P1:P4!K2,P6:P8!K2,P10:P13!K2)/B26</f>
        <v>0</v>
      </c>
      <c r="C44" s="10"/>
    </row>
    <row r="45" customFormat="false" ht="15" hidden="false" customHeight="false" outlineLevel="0" collapsed="false">
      <c r="B45" s="10" t="n">
        <f aca="false">SUM(B40:B44)</f>
        <v>0.00515463917525773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3"/>
  <sheetViews>
    <sheetView showFormulas="false" showGridLines="true" showRowColHeaders="true" showZeros="true" rightToLeft="false" tabSelected="false" showOutlineSymbols="true" defaultGridColor="true" view="normal" topLeftCell="A48" colorId="64" zoomScale="100" zoomScaleNormal="100" zoomScalePageLayoutView="100" workbookViewId="0">
      <selection pane="topLeft" activeCell="M11" activeCellId="0" sqref="M11"/>
    </sheetView>
  </sheetViews>
  <sheetFormatPr defaultColWidth="8.57421875" defaultRowHeight="15" zeroHeight="false" outlineLevelRow="0" outlineLevelCol="0"/>
  <cols>
    <col collapsed="false" customWidth="true" hidden="false" outlineLevel="0" max="2" min="1" style="13" width="22"/>
    <col collapsed="false" customWidth="true" hidden="false" outlineLevel="0" max="4" min="3" style="0" width="22.14"/>
    <col collapsed="false" customWidth="true" hidden="false" outlineLevel="0" max="5" min="5" style="0" width="129.29"/>
    <col collapsed="false" customWidth="true" hidden="false" outlineLevel="0" max="6" min="6" style="0" width="22.57"/>
    <col collapsed="false" customWidth="true" hidden="false" outlineLevel="0" max="7" min="7" style="0" width="23.29"/>
    <col collapsed="false" customWidth="true" hidden="false" outlineLevel="0" max="8" min="8" style="0" width="28.14"/>
    <col collapsed="false" customWidth="true" hidden="false" outlineLevel="0" max="9" min="9" style="0" width="9.14"/>
  </cols>
  <sheetData>
    <row r="1" customFormat="false" ht="15" hidden="false" customHeight="false" outlineLevel="0" collapsed="false">
      <c r="A1" s="1" t="s">
        <v>52</v>
      </c>
      <c r="B1" s="1" t="s">
        <v>53</v>
      </c>
      <c r="C1" s="1" t="s">
        <v>54</v>
      </c>
      <c r="D1" s="1"/>
      <c r="E1" s="14" t="s">
        <v>52</v>
      </c>
      <c r="F1" s="15" t="s">
        <v>55</v>
      </c>
      <c r="G1" s="16"/>
      <c r="H1" s="17"/>
    </row>
    <row r="2" customFormat="false" ht="15" hidden="false" customHeight="false" outlineLevel="0" collapsed="false">
      <c r="A2" s="13" t="n">
        <v>45581.3852709144</v>
      </c>
      <c r="B2" s="13" t="n">
        <v>45581.3853419676</v>
      </c>
      <c r="C2" s="18" t="n">
        <f aca="false">(B2-A2)</f>
        <v>7.10532407407408E-005</v>
      </c>
      <c r="D2" s="19" t="n">
        <f aca="false">CEILING(C2,"00:00:05")</f>
        <v>0.000115740740740741</v>
      </c>
      <c r="E2" s="20" t="s">
        <v>56</v>
      </c>
      <c r="F2" s="21" t="s">
        <v>57</v>
      </c>
      <c r="G2" s="14" t="s">
        <v>58</v>
      </c>
      <c r="H2" s="22"/>
    </row>
    <row r="3" customFormat="false" ht="26.1" hidden="false" customHeight="false" outlineLevel="0" collapsed="false">
      <c r="A3" s="13" t="n">
        <v>45581.3902520833</v>
      </c>
      <c r="B3" s="13" t="n">
        <v>45581.3904154977</v>
      </c>
      <c r="C3" s="18" t="n">
        <f aca="false">(B3-A3)</f>
        <v>0.000163414351851852</v>
      </c>
      <c r="D3" s="19" t="n">
        <f aca="false">CEILING(C3,"00:00:05")</f>
        <v>0.000173611111111111</v>
      </c>
      <c r="E3" s="20" t="s">
        <v>59</v>
      </c>
      <c r="F3" s="23" t="n">
        <v>45580.522051331</v>
      </c>
      <c r="G3" s="24" t="n">
        <v>45580.5220549421</v>
      </c>
      <c r="H3" s="25" t="n">
        <f aca="false">ABS(G3-F3)</f>
        <v>3.61110869562253E-006</v>
      </c>
    </row>
    <row r="4" customFormat="false" ht="15" hidden="false" customHeight="false" outlineLevel="0" collapsed="false">
      <c r="A4" s="13" t="n">
        <v>45581.3928254398</v>
      </c>
      <c r="B4" s="13" t="n">
        <v>45581.392908206</v>
      </c>
      <c r="C4" s="18" t="n">
        <f aca="false">(B4-A4)</f>
        <v>8.27662037037037E-005</v>
      </c>
      <c r="D4" s="19" t="n">
        <f aca="false">CEILING(C4,"00:00:05")</f>
        <v>0.000115740740740741</v>
      </c>
      <c r="E4" s="20" t="n">
        <v>3</v>
      </c>
      <c r="F4" s="23" t="n">
        <v>45579.7526903009</v>
      </c>
      <c r="G4" s="24" t="n">
        <v>45579.7526890046</v>
      </c>
      <c r="H4" s="25" t="n">
        <f aca="false">ABS(G4-F4)</f>
        <v>1.29629916045815E-006</v>
      </c>
    </row>
    <row r="5" customFormat="false" ht="26.1" hidden="false" customHeight="false" outlineLevel="0" collapsed="false">
      <c r="A5" s="13" t="n">
        <v>45581.397814294</v>
      </c>
      <c r="B5" s="13" t="n">
        <v>45581.3979704282</v>
      </c>
      <c r="C5" s="18" t="n">
        <f aca="false">(B5-A5)</f>
        <v>0.000156134259259259</v>
      </c>
      <c r="D5" s="19" t="n">
        <f aca="false">CEILING(C5,"00:00:05")</f>
        <v>0.000173611111111111</v>
      </c>
      <c r="E5" s="20" t="s">
        <v>60</v>
      </c>
      <c r="F5" s="23" t="n">
        <v>45579.7531579282</v>
      </c>
      <c r="G5" s="24" t="n">
        <v>45579.7531613194</v>
      </c>
      <c r="H5" s="25" t="n">
        <f aca="false">ABS(G5-F5)</f>
        <v>3.39120015269145E-006</v>
      </c>
    </row>
    <row r="6" customFormat="false" ht="15" hidden="false" customHeight="false" outlineLevel="0" collapsed="false">
      <c r="A6" s="13" t="n">
        <v>45581.3992911111</v>
      </c>
      <c r="B6" s="13" t="n">
        <v>45581.3993841204</v>
      </c>
      <c r="C6" s="18" t="n">
        <f aca="false">(B6-A6)</f>
        <v>9.30092592592593E-005</v>
      </c>
      <c r="D6" s="19" t="n">
        <f aca="false">CEILING(C6,"00:00:05")</f>
        <v>0.000115740740740741</v>
      </c>
      <c r="E6" s="20" t="n">
        <v>4</v>
      </c>
      <c r="F6" s="23" t="n">
        <v>45579.753276088</v>
      </c>
      <c r="G6" s="24" t="n">
        <v>45579.7532740741</v>
      </c>
      <c r="H6" s="25" t="n">
        <f aca="false">ABS(G6-F6)</f>
        <v>2.01389048015699E-006</v>
      </c>
    </row>
    <row r="7" customFormat="false" ht="15" hidden="false" customHeight="false" outlineLevel="0" collapsed="false">
      <c r="A7" s="13" t="n">
        <v>45581.4067370139</v>
      </c>
      <c r="B7" s="13" t="n">
        <v>45581.4068304167</v>
      </c>
      <c r="C7" s="18" t="n">
        <f aca="false">(B7-A7)</f>
        <v>9.34027777777778E-005</v>
      </c>
      <c r="D7" s="19" t="n">
        <f aca="false">CEILING(C7,"00:00:05")</f>
        <v>0.000115740740740741</v>
      </c>
      <c r="E7" s="20" t="n">
        <v>4</v>
      </c>
      <c r="F7" s="23" t="n">
        <v>45579.7533775347</v>
      </c>
      <c r="G7" s="24" t="n">
        <v>45579.7533810764</v>
      </c>
      <c r="H7" s="25" t="n">
        <f aca="false">ABS(G7-F7)</f>
        <v>3.54165968019515E-006</v>
      </c>
    </row>
    <row r="8" customFormat="false" ht="15" hidden="false" customHeight="false" outlineLevel="0" collapsed="false">
      <c r="A8" s="13" t="n">
        <v>45581.4073791088</v>
      </c>
      <c r="B8" s="13" t="n">
        <v>45581.4074367477</v>
      </c>
      <c r="C8" s="18" t="n">
        <f aca="false">(B8-A8)</f>
        <v>5.76388888888889E-005</v>
      </c>
      <c r="D8" s="19" t="n">
        <f aca="false">CEILING(C8,"00:00:05")</f>
        <v>5.78703703703704E-005</v>
      </c>
      <c r="E8" s="20" t="n">
        <v>3</v>
      </c>
      <c r="F8" s="23" t="n">
        <v>45579.7534959491</v>
      </c>
      <c r="G8" s="24" t="n">
        <v>45579.7534938194</v>
      </c>
      <c r="H8" s="25" t="n">
        <f aca="false">ABS(G8-F8)</f>
        <v>2.12962914351852E-006</v>
      </c>
    </row>
    <row r="9" customFormat="false" ht="15" hidden="false" customHeight="false" outlineLevel="0" collapsed="false">
      <c r="A9" s="13" t="n">
        <v>45581.4091010185</v>
      </c>
      <c r="B9" s="13" t="n">
        <v>45581.4091589005</v>
      </c>
      <c r="C9" s="18" t="n">
        <f aca="false">(B9-A9)</f>
        <v>5.78819328703704E-005</v>
      </c>
      <c r="D9" s="19" t="n">
        <f aca="false">CEILING(C9,"00:00:05")</f>
        <v>0.000115740740740741</v>
      </c>
      <c r="E9" s="20" t="s">
        <v>61</v>
      </c>
      <c r="F9" s="23" t="n">
        <v>45579.7542591435</v>
      </c>
      <c r="G9" s="24" t="n">
        <v>45579.7542628704</v>
      </c>
      <c r="H9" s="25" t="n">
        <f aca="false">ABS(G9-F9)</f>
        <v>3.72684734953704E-006</v>
      </c>
    </row>
    <row r="10" customFormat="false" ht="51.1" hidden="false" customHeight="false" outlineLevel="0" collapsed="false">
      <c r="A10" s="13" t="n">
        <v>45592.6878708912</v>
      </c>
      <c r="B10" s="13" t="n">
        <v>45592.6881168171</v>
      </c>
      <c r="C10" s="18" t="n">
        <f aca="false">(B10-A10)</f>
        <v>0.000245925925925926</v>
      </c>
      <c r="D10" s="19" t="n">
        <f aca="false">CEILING(C10,"00:00:05")</f>
        <v>0.000289351851851852</v>
      </c>
      <c r="E10" s="20" t="s">
        <v>62</v>
      </c>
      <c r="F10" s="23" t="n">
        <v>45580.5201118982</v>
      </c>
      <c r="G10" s="24" t="n">
        <v>45580.5201172454</v>
      </c>
      <c r="H10" s="25" t="n">
        <f aca="false">ABS(G10-F10)</f>
        <v>5.34721766203704E-006</v>
      </c>
    </row>
    <row r="11" customFormat="false" ht="15" hidden="false" customHeight="false" outlineLevel="0" collapsed="false">
      <c r="A11" s="13" t="n">
        <v>45592.688415625</v>
      </c>
      <c r="B11" s="13" t="n">
        <v>45592.6885977199</v>
      </c>
      <c r="C11" s="18" t="n">
        <f aca="false">(B11-A11)</f>
        <v>0.000182094907407407</v>
      </c>
      <c r="D11" s="19" t="n">
        <f aca="false">CEILING(C11,"00:00:05")</f>
        <v>0.000231481481481482</v>
      </c>
      <c r="E11" s="20" t="n">
        <v>4</v>
      </c>
      <c r="F11" s="23" t="n">
        <v>45580.5202773843</v>
      </c>
      <c r="G11" s="24" t="n">
        <v>45580.5202760764</v>
      </c>
      <c r="H11" s="25" t="n">
        <f aca="false">ABS(G11-F11)</f>
        <v>1.30787521990741E-006</v>
      </c>
    </row>
    <row r="12" customFormat="false" ht="15" hidden="false" customHeight="false" outlineLevel="0" collapsed="false">
      <c r="A12" s="13" t="n">
        <v>45592.6888714699</v>
      </c>
      <c r="B12" s="13" t="n">
        <v>45592.6890829514</v>
      </c>
      <c r="C12" s="18" t="n">
        <f aca="false">(B12-A12)</f>
        <v>0.000211481481481481</v>
      </c>
      <c r="D12" s="19" t="n">
        <f aca="false">CEILING(C12,"00:00:05")</f>
        <v>0.000231481481481482</v>
      </c>
      <c r="E12" s="20" t="n">
        <v>4</v>
      </c>
      <c r="F12" s="23" t="n">
        <v>45579.8089046528</v>
      </c>
      <c r="G12" s="24" t="n">
        <v>45579.8089078472</v>
      </c>
      <c r="H12" s="25" t="n">
        <f aca="false">ABS(G12-F12)</f>
        <v>3.19445097222222E-006</v>
      </c>
    </row>
    <row r="13" customFormat="false" ht="15" hidden="false" customHeight="false" outlineLevel="0" collapsed="false">
      <c r="A13" s="13" t="n">
        <v>45592.6894508333</v>
      </c>
      <c r="B13" s="13" t="n">
        <v>45592.6895874074</v>
      </c>
      <c r="C13" s="18" t="n">
        <f aca="false">(B13-A13)</f>
        <v>0.000136574074074074</v>
      </c>
      <c r="D13" s="19" t="n">
        <f aca="false">CEILING(C13,"00:00:05")</f>
        <v>0.000173611111111111</v>
      </c>
      <c r="E13" s="20" t="n">
        <v>4</v>
      </c>
      <c r="F13" s="23" t="n">
        <v>45579.8091093056</v>
      </c>
      <c r="G13" s="24" t="n">
        <v>45579.8091075926</v>
      </c>
      <c r="H13" s="25" t="n">
        <f aca="false">ABS(G13-F13)</f>
        <v>1.71296415509259E-006</v>
      </c>
    </row>
    <row r="14" customFormat="false" ht="26.1" hidden="false" customHeight="false" outlineLevel="0" collapsed="false">
      <c r="A14" s="13" t="n">
        <v>45592.6913791088</v>
      </c>
      <c r="B14" s="13" t="n">
        <v>45592.6916565625</v>
      </c>
      <c r="C14" s="18" t="n">
        <f aca="false">(B14-A14)</f>
        <v>0.000277453703703704</v>
      </c>
      <c r="D14" s="19" t="n">
        <f aca="false">CEILING(C14,"00:00:05")</f>
        <v>0.000289351851851852</v>
      </c>
      <c r="E14" s="20" t="s">
        <v>63</v>
      </c>
      <c r="F14" s="23"/>
      <c r="G14" s="24"/>
      <c r="H14" s="22"/>
    </row>
    <row r="15" customFormat="false" ht="15" hidden="false" customHeight="false" outlineLevel="0" collapsed="false">
      <c r="A15" s="13" t="n">
        <v>45592.6919302778</v>
      </c>
      <c r="B15" s="13" t="n">
        <v>45592.6921075926</v>
      </c>
      <c r="C15" s="18" t="n">
        <f aca="false">(B15-A15)</f>
        <v>0.000177314814814815</v>
      </c>
      <c r="D15" s="19" t="n">
        <f aca="false">CEILING(C15,"00:00:05")</f>
        <v>0.000231481481481482</v>
      </c>
      <c r="E15" s="20" t="n">
        <v>3</v>
      </c>
      <c r="F15" s="26"/>
      <c r="G15" s="27" t="s">
        <v>64</v>
      </c>
      <c r="H15" s="28" t="n">
        <f aca="false">AVERAGE(H3:H13)</f>
        <v>2.84301296977157E-006</v>
      </c>
    </row>
    <row r="16" customFormat="false" ht="15" hidden="false" customHeight="false" outlineLevel="0" collapsed="false">
      <c r="A16" s="13" t="n">
        <v>45592.6923545023</v>
      </c>
      <c r="B16" s="13" t="n">
        <v>45592.6926949884</v>
      </c>
      <c r="C16" s="18" t="n">
        <f aca="false">(B16-A16)</f>
        <v>0.000340486111111111</v>
      </c>
      <c r="D16" s="19" t="n">
        <f aca="false">CEILING(C16,"00:00:05")</f>
        <v>0.000347222222222222</v>
      </c>
      <c r="E16" s="20" t="n">
        <v>3</v>
      </c>
    </row>
    <row r="17" customFormat="false" ht="26.1" hidden="false" customHeight="false" outlineLevel="0" collapsed="false">
      <c r="A17" s="13" t="n">
        <v>45592.6939654745</v>
      </c>
      <c r="B17" s="13" t="n">
        <v>45592.6941905324</v>
      </c>
      <c r="C17" s="18" t="n">
        <f aca="false">(B17-A17)</f>
        <v>0.00022505787037037</v>
      </c>
      <c r="D17" s="19" t="n">
        <f aca="false">CEILING(C17,"00:00:05")</f>
        <v>0.000231481481481482</v>
      </c>
      <c r="E17" s="20" t="s">
        <v>65</v>
      </c>
      <c r="F17" s="29" t="s">
        <v>66</v>
      </c>
      <c r="G17" s="30" t="s">
        <v>67</v>
      </c>
      <c r="H17" s="31" t="s">
        <v>68</v>
      </c>
    </row>
    <row r="18" customFormat="false" ht="15" hidden="false" customHeight="false" outlineLevel="0" collapsed="false">
      <c r="A18" s="13" t="n">
        <v>45592.694461412</v>
      </c>
      <c r="B18" s="13" t="n">
        <v>45592.6948639468</v>
      </c>
      <c r="C18" s="18" t="n">
        <f aca="false">(B18-A18)</f>
        <v>0.000402534722222222</v>
      </c>
      <c r="D18" s="19" t="n">
        <f aca="false">CEILING(C18,"00:00:05")</f>
        <v>0.000405092592592593</v>
      </c>
      <c r="E18" s="20" t="n">
        <v>4</v>
      </c>
      <c r="F18" s="30" t="s">
        <v>69</v>
      </c>
      <c r="G18" s="32" t="n">
        <f aca="false">COUNTIFS(C:C,"&lt;"&amp;3/(24*60*60))</f>
        <v>1</v>
      </c>
      <c r="H18" s="33" t="n">
        <f aca="false">G18/(SUM(G18:G25))</f>
        <v>0.00378787878787879</v>
      </c>
    </row>
    <row r="19" customFormat="false" ht="15" hidden="false" customHeight="false" outlineLevel="0" collapsed="false">
      <c r="A19" s="13" t="n">
        <v>45592.6953881597</v>
      </c>
      <c r="B19" s="13" t="n">
        <v>45592.6956754282</v>
      </c>
      <c r="C19" s="18" t="n">
        <f aca="false">(B19-A19)</f>
        <v>0.000287268518518519</v>
      </c>
      <c r="D19" s="19" t="n">
        <f aca="false">CEILING(C19,"00:00:05")</f>
        <v>0.000289351851851852</v>
      </c>
      <c r="E19" s="20" t="n">
        <v>2</v>
      </c>
      <c r="F19" s="30" t="s">
        <v>70</v>
      </c>
      <c r="G19" s="32" t="n">
        <f aca="false">COUNTIFS(C:C,"&gt;="&amp;3/(24*60*60),C:C,"&lt;"&amp;5/(24*60*60))</f>
        <v>3</v>
      </c>
      <c r="H19" s="33" t="n">
        <f aca="false">G19/(SUM(G18:G25))</f>
        <v>0.0113636363636364</v>
      </c>
    </row>
    <row r="20" customFormat="false" ht="15" hidden="false" customHeight="false" outlineLevel="0" collapsed="false">
      <c r="A20" s="13" t="n">
        <v>45592.6966238657</v>
      </c>
      <c r="B20" s="13" t="n">
        <v>45592.6967214815</v>
      </c>
      <c r="C20" s="18" t="n">
        <f aca="false">(B20-A20)</f>
        <v>9.76157407407407E-005</v>
      </c>
      <c r="D20" s="19" t="n">
        <f aca="false">CEILING(C20,"00:00:05")</f>
        <v>0.000115740740740741</v>
      </c>
      <c r="E20" s="20" t="n">
        <v>2</v>
      </c>
      <c r="F20" s="29" t="s">
        <v>71</v>
      </c>
      <c r="G20" s="32" t="n">
        <f aca="false">COUNTIFS(C:C,"&gt;="&amp;5/(24*60*60),C:C,"&lt;"&amp;10/(24*60*60))</f>
        <v>36</v>
      </c>
      <c r="H20" s="33" t="n">
        <f aca="false">G20/(SUM(G18:G25))</f>
        <v>0.136363636363636</v>
      </c>
      <c r="I20" s="10"/>
    </row>
    <row r="21" customFormat="false" ht="26.1" hidden="false" customHeight="false" outlineLevel="0" collapsed="false">
      <c r="A21" s="13" t="n">
        <v>45592.6994976852</v>
      </c>
      <c r="B21" s="13" t="n">
        <v>45592.6996787037</v>
      </c>
      <c r="C21" s="18" t="n">
        <f aca="false">(B21-A21)</f>
        <v>0.000181018518518519</v>
      </c>
      <c r="D21" s="19" t="n">
        <f aca="false">CEILING(C21,"00:00:05")</f>
        <v>0.000231481481481482</v>
      </c>
      <c r="E21" s="20" t="s">
        <v>72</v>
      </c>
      <c r="F21" s="30" t="s">
        <v>73</v>
      </c>
      <c r="G21" s="32" t="n">
        <f aca="false">COUNTIFS(C:C,"&gt;="&amp;10/(24*60*60),C:C,"&lt;"&amp;15/(24*60*60))</f>
        <v>81</v>
      </c>
      <c r="H21" s="33" t="n">
        <f aca="false">G21/(SUM(G18:G25))</f>
        <v>0.306818181818182</v>
      </c>
    </row>
    <row r="22" customFormat="false" ht="15" hidden="false" customHeight="false" outlineLevel="0" collapsed="false">
      <c r="A22" s="13" t="n">
        <v>45592.7004759838</v>
      </c>
      <c r="B22" s="13" t="n">
        <v>45592.7005687037</v>
      </c>
      <c r="C22" s="18" t="n">
        <f aca="false">(B22-A22)</f>
        <v>9.27199074074074E-005</v>
      </c>
      <c r="D22" s="19" t="n">
        <f aca="false">CEILING(C22,"00:00:05")</f>
        <v>0.000115740740740741</v>
      </c>
      <c r="E22" s="20" t="n">
        <v>4</v>
      </c>
      <c r="F22" s="30" t="s">
        <v>74</v>
      </c>
      <c r="G22" s="32" t="n">
        <f aca="false">COUNTIFS(C:C,"&gt;="&amp;15/(24*60*60),C:C,"&lt;"&amp;20/(24*60*60))</f>
        <v>62</v>
      </c>
      <c r="H22" s="33" t="n">
        <f aca="false">G22/(SUM(G19:G26))</f>
        <v>0.235741243730944</v>
      </c>
    </row>
    <row r="23" customFormat="false" ht="15" hidden="false" customHeight="false" outlineLevel="0" collapsed="false">
      <c r="A23" s="13" t="n">
        <v>45592.7007741204</v>
      </c>
      <c r="B23" s="13" t="n">
        <v>45592.7009643519</v>
      </c>
      <c r="C23" s="18" t="n">
        <f aca="false">(B23-A23)</f>
        <v>0.000190231481481482</v>
      </c>
      <c r="D23" s="19" t="n">
        <f aca="false">CEILING(C23,"00:00:05")</f>
        <v>0.000231481481481482</v>
      </c>
      <c r="E23" s="20" t="n">
        <v>4</v>
      </c>
      <c r="F23" s="30" t="s">
        <v>75</v>
      </c>
      <c r="G23" s="32" t="n">
        <f aca="false">COUNTIFS(C:C,"&gt;="&amp;20/(24*60*60),C:C,"&lt;"&amp;30/(24*60*60))</f>
        <v>49</v>
      </c>
      <c r="H23" s="33" t="n">
        <f aca="false">G23/(SUM(G19:G26))</f>
        <v>0.18631162810994</v>
      </c>
    </row>
    <row r="24" customFormat="false" ht="26.1" hidden="false" customHeight="false" outlineLevel="0" collapsed="false">
      <c r="A24" s="13" t="n">
        <v>45592.7040075116</v>
      </c>
      <c r="B24" s="13" t="n">
        <v>45592.7042789931</v>
      </c>
      <c r="C24" s="18" t="n">
        <f aca="false">(B24-A24)</f>
        <v>0.000271481481481482</v>
      </c>
      <c r="D24" s="19" t="n">
        <f aca="false">CEILING(C24,"00:00:05")</f>
        <v>0.000289351851851852</v>
      </c>
      <c r="E24" s="20" t="s">
        <v>76</v>
      </c>
      <c r="F24" s="30" t="s">
        <v>77</v>
      </c>
      <c r="G24" s="32" t="n">
        <f aca="false">COUNTIFS(C:C,"&gt;="&amp;30/(24*60*60),C:C,"&lt;"&amp;60/(24*60*60))</f>
        <v>26</v>
      </c>
      <c r="H24" s="33" t="n">
        <f aca="false">G24/(SUM(G18:G25))</f>
        <v>0.0984848484848485</v>
      </c>
    </row>
    <row r="25" customFormat="false" ht="15" hidden="false" customHeight="false" outlineLevel="0" collapsed="false">
      <c r="A25" s="34" t="n">
        <v>45592.7057677431</v>
      </c>
      <c r="B25" s="34" t="n">
        <v>45592.7060288657</v>
      </c>
      <c r="C25" s="18" t="n">
        <f aca="false">(B25-A25)</f>
        <v>0.000261122685185185</v>
      </c>
      <c r="D25" s="19" t="n">
        <f aca="false">CEILING(C25,"00:00:05")</f>
        <v>0.000289351851851852</v>
      </c>
      <c r="E25" s="35" t="s">
        <v>78</v>
      </c>
      <c r="F25" s="36" t="s">
        <v>79</v>
      </c>
      <c r="G25" s="37" t="n">
        <f aca="false">COUNTIFS(C:C,"&gt;="&amp;60/(24*60*60))</f>
        <v>6</v>
      </c>
      <c r="H25" s="38" t="n">
        <f aca="false">G25/(SUM(G18:G25))</f>
        <v>0.0227272727272727</v>
      </c>
    </row>
    <row r="26" customFormat="false" ht="15" hidden="false" customHeight="false" outlineLevel="0" collapsed="false">
      <c r="C26" s="18"/>
      <c r="D26" s="19" t="n">
        <f aca="false">CEILING(C26,"00:00:05")</f>
        <v>0</v>
      </c>
      <c r="E26" s="39"/>
      <c r="F26" s="40" t="s">
        <v>80</v>
      </c>
      <c r="G26" s="41" t="n">
        <f aca="false">AVERAGE(C:C)</f>
        <v>0.0002243933254938</v>
      </c>
      <c r="H26" s="42"/>
    </row>
    <row r="27" customFormat="false" ht="15" hidden="false" customHeight="false" outlineLevel="0" collapsed="false">
      <c r="A27" s="13" t="s">
        <v>81</v>
      </c>
      <c r="B27" s="13" t="s">
        <v>82</v>
      </c>
      <c r="C27" s="18" t="n">
        <f aca="false">(B27-A27)</f>
        <v>0.00014290508988779</v>
      </c>
      <c r="D27" s="19" t="n">
        <f aca="false">CEILING(C27,"00:00:05")</f>
        <v>0.000173611111111111</v>
      </c>
      <c r="E27" s="43" t="s">
        <v>83</v>
      </c>
      <c r="F27" s="30" t="s">
        <v>84</v>
      </c>
      <c r="G27" s="29" t="n">
        <f aca="false">SUM(G18:G25)</f>
        <v>264</v>
      </c>
      <c r="H27" s="31"/>
    </row>
    <row r="28" customFormat="false" ht="88.6" hidden="false" customHeight="false" outlineLevel="0" collapsed="false">
      <c r="A28" s="13" t="n">
        <v>45582.4865216898</v>
      </c>
      <c r="B28" s="13" t="n">
        <v>45582.4871075926</v>
      </c>
      <c r="C28" s="18" t="n">
        <f aca="false">(B28-A28)</f>
        <v>0.000585902777777778</v>
      </c>
      <c r="D28" s="19" t="n">
        <f aca="false">CEILING(C28,"00:00:05")</f>
        <v>0.000636574074074074</v>
      </c>
      <c r="E28" s="43" t="s">
        <v>85</v>
      </c>
    </row>
    <row r="29" customFormat="false" ht="26.1" hidden="false" customHeight="false" outlineLevel="0" collapsed="false">
      <c r="A29" s="13" t="n">
        <v>45582.4878375579</v>
      </c>
      <c r="B29" s="13" t="n">
        <v>45582.4881617477</v>
      </c>
      <c r="C29" s="18" t="n">
        <f aca="false">(B29-A29)</f>
        <v>0.000324189814814815</v>
      </c>
      <c r="D29" s="19" t="n">
        <f aca="false">CEILING(C29,"00:00:05")</f>
        <v>0.000347222222222222</v>
      </c>
      <c r="E29" s="43" t="s">
        <v>86</v>
      </c>
      <c r="F29" s="44" t="s">
        <v>54</v>
      </c>
      <c r="G29" s="45" t="s">
        <v>87</v>
      </c>
    </row>
    <row r="30" customFormat="false" ht="76.1" hidden="false" customHeight="false" outlineLevel="0" collapsed="false">
      <c r="A30" s="13" t="n">
        <v>45582.490572963</v>
      </c>
      <c r="B30" s="13" t="n">
        <v>45582.490855544</v>
      </c>
      <c r="C30" s="18" t="n">
        <f aca="false">(B30-A30)</f>
        <v>0.000282581018518519</v>
      </c>
      <c r="D30" s="19" t="n">
        <f aca="false">CEILING(C30,"00:00:05")</f>
        <v>0.000289351851851852</v>
      </c>
      <c r="E30" s="43" t="s">
        <v>88</v>
      </c>
      <c r="F30" s="46" t="n">
        <v>3.2037037037037E-005</v>
      </c>
      <c r="G30" s="47" t="n">
        <v>1</v>
      </c>
    </row>
    <row r="31" customFormat="false" ht="63.6" hidden="false" customHeight="false" outlineLevel="0" collapsed="false">
      <c r="A31" s="13" t="n">
        <v>45582.492990787</v>
      </c>
      <c r="B31" s="13" t="n">
        <v>45582.4937965046</v>
      </c>
      <c r="C31" s="18" t="n">
        <f aca="false">(B31-A31)</f>
        <v>0.000805717592592593</v>
      </c>
      <c r="D31" s="19" t="n">
        <f aca="false">CEILING(C31,"00:00:05")</f>
        <v>0.000810185185185185</v>
      </c>
      <c r="E31" s="43" t="s">
        <v>89</v>
      </c>
      <c r="F31" s="48" t="n">
        <v>3.7974537037037E-005</v>
      </c>
      <c r="G31" s="49" t="n">
        <v>1</v>
      </c>
    </row>
    <row r="32" customFormat="false" ht="26.1" hidden="false" customHeight="false" outlineLevel="0" collapsed="false">
      <c r="A32" s="13" t="n">
        <v>45582.4945322454</v>
      </c>
      <c r="B32" s="13" t="n">
        <v>45582.4949068171</v>
      </c>
      <c r="C32" s="18" t="n">
        <f aca="false">(B32-A32)</f>
        <v>0.000374571759259259</v>
      </c>
      <c r="D32" s="19" t="n">
        <f aca="false">CEILING(C32,"00:00:05")</f>
        <v>0.000405092592592593</v>
      </c>
      <c r="E32" s="43" t="s">
        <v>90</v>
      </c>
      <c r="F32" s="48" t="n">
        <v>3.89351967592593E-005</v>
      </c>
      <c r="G32" s="49" t="n">
        <v>1</v>
      </c>
    </row>
    <row r="33" customFormat="false" ht="26.1" hidden="false" customHeight="false" outlineLevel="0" collapsed="false">
      <c r="A33" s="13" t="n">
        <v>45582.4958846296</v>
      </c>
      <c r="B33" s="13" t="n">
        <v>45582.4961950347</v>
      </c>
      <c r="C33" s="18" t="n">
        <f aca="false">(B33-A33)</f>
        <v>0.000310405092592593</v>
      </c>
      <c r="D33" s="19" t="n">
        <f aca="false">CEILING(C33,"00:00:05")</f>
        <v>0.000347222222222222</v>
      </c>
      <c r="E33" s="43" t="s">
        <v>91</v>
      </c>
      <c r="F33" s="48" t="n">
        <v>5.76388888888889E-005</v>
      </c>
      <c r="G33" s="49" t="n">
        <v>1</v>
      </c>
    </row>
    <row r="34" customFormat="false" ht="15" hidden="false" customHeight="false" outlineLevel="0" collapsed="false">
      <c r="A34" s="13" t="n">
        <v>45582.4965558218</v>
      </c>
      <c r="B34" s="13" t="n">
        <v>45582.4969036806</v>
      </c>
      <c r="C34" s="18" t="n">
        <f aca="false">(B34-A34)</f>
        <v>0.000347858796296296</v>
      </c>
      <c r="D34" s="19" t="n">
        <f aca="false">CEILING(C34,"00:00:05")</f>
        <v>0.000405092592592593</v>
      </c>
      <c r="E34" s="43" t="s">
        <v>92</v>
      </c>
      <c r="F34" s="48" t="n">
        <v>5.78819328703704E-005</v>
      </c>
      <c r="G34" s="49" t="n">
        <v>1</v>
      </c>
    </row>
    <row r="35" customFormat="false" ht="15" hidden="false" customHeight="false" outlineLevel="0" collapsed="false">
      <c r="A35" s="13" t="n">
        <v>45582.4972895486</v>
      </c>
      <c r="B35" s="13" t="n">
        <v>45582.4975898495</v>
      </c>
      <c r="C35" s="18" t="n">
        <f aca="false">(B35-A35)</f>
        <v>0.000300300925925926</v>
      </c>
      <c r="D35" s="19" t="n">
        <f aca="false">CEILING(C35,"00:00:05")</f>
        <v>0.000347222222222222</v>
      </c>
      <c r="E35" s="43" t="s">
        <v>93</v>
      </c>
      <c r="F35" s="48" t="n">
        <v>6.43634259259259E-005</v>
      </c>
      <c r="G35" s="49" t="n">
        <v>1</v>
      </c>
    </row>
    <row r="36" customFormat="false" ht="51.1" hidden="false" customHeight="false" outlineLevel="0" collapsed="false">
      <c r="A36" s="13" t="n">
        <v>45582.4990736111</v>
      </c>
      <c r="B36" s="13" t="n">
        <v>45582.4995160648</v>
      </c>
      <c r="C36" s="18" t="n">
        <f aca="false">(B36-A36)</f>
        <v>0.000442453703703704</v>
      </c>
      <c r="D36" s="19" t="n">
        <f aca="false">CEILING(C36,"00:00:05")</f>
        <v>0.000462962962962963</v>
      </c>
      <c r="E36" s="43" t="s">
        <v>94</v>
      </c>
      <c r="F36" s="48" t="n">
        <v>6.59259259259259E-005</v>
      </c>
      <c r="G36" s="49" t="n">
        <v>1</v>
      </c>
    </row>
    <row r="37" customFormat="false" ht="15" hidden="false" customHeight="false" outlineLevel="0" collapsed="false">
      <c r="A37" s="13" t="n">
        <v>45582.5001437616</v>
      </c>
      <c r="B37" s="13" t="n">
        <v>45582.5005381829</v>
      </c>
      <c r="C37" s="18" t="n">
        <f aca="false">(B37-A37)</f>
        <v>0.000394421296296296</v>
      </c>
      <c r="D37" s="19" t="n">
        <f aca="false">CEILING(C37,"00:00:05")</f>
        <v>0.000405092592592593</v>
      </c>
      <c r="E37" s="43" t="n">
        <v>4</v>
      </c>
      <c r="F37" s="48" t="n">
        <v>7.10532407407408E-005</v>
      </c>
      <c r="G37" s="49" t="n">
        <v>1</v>
      </c>
    </row>
    <row r="38" customFormat="false" ht="15" hidden="false" customHeight="false" outlineLevel="0" collapsed="false">
      <c r="A38" s="13" t="n">
        <v>45582.5008460301</v>
      </c>
      <c r="B38" s="13" t="n">
        <v>45582.5009419097</v>
      </c>
      <c r="C38" s="18" t="n">
        <f aca="false">(B38-A38)</f>
        <v>9.58796180555556E-005</v>
      </c>
      <c r="D38" s="19" t="n">
        <f aca="false">CEILING(C38,"00:00:05")</f>
        <v>0.000115740740740741</v>
      </c>
      <c r="E38" s="43" t="s">
        <v>95</v>
      </c>
      <c r="F38" s="48" t="n">
        <v>7.20023032407407E-005</v>
      </c>
      <c r="G38" s="49" t="n">
        <v>1</v>
      </c>
    </row>
    <row r="39" customFormat="false" ht="26.1" hidden="false" customHeight="false" outlineLevel="0" collapsed="false">
      <c r="A39" s="13" t="n">
        <v>45582.5016542824</v>
      </c>
      <c r="B39" s="13" t="n">
        <v>45582.5018070602</v>
      </c>
      <c r="C39" s="18" t="n">
        <f aca="false">(B39-A39)</f>
        <v>0.000152777777777778</v>
      </c>
      <c r="D39" s="19" t="n">
        <f aca="false">CEILING(C39,"00:00:05")</f>
        <v>0.000173611111111111</v>
      </c>
      <c r="E39" s="43" t="s">
        <v>96</v>
      </c>
      <c r="F39" s="48" t="n">
        <v>7.48726851851852E-005</v>
      </c>
      <c r="G39" s="49" t="n">
        <v>1</v>
      </c>
    </row>
    <row r="40" customFormat="false" ht="15" hidden="false" customHeight="false" outlineLevel="0" collapsed="false">
      <c r="A40" s="13" t="n">
        <v>45582.501972037</v>
      </c>
      <c r="B40" s="13" t="n">
        <v>45582.5022838079</v>
      </c>
      <c r="C40" s="18" t="n">
        <f aca="false">(B40-A40)</f>
        <v>0.000311770833333333</v>
      </c>
      <c r="D40" s="19" t="n">
        <f aca="false">CEILING(C40,"00:00:05")</f>
        <v>0.000347222222222222</v>
      </c>
      <c r="E40" s="43" t="s">
        <v>97</v>
      </c>
      <c r="F40" s="48" t="n">
        <v>7.81365740740741E-005</v>
      </c>
      <c r="G40" s="49" t="n">
        <v>1</v>
      </c>
    </row>
    <row r="41" customFormat="false" ht="15" hidden="false" customHeight="false" outlineLevel="0" collapsed="false">
      <c r="A41" s="13" t="n">
        <v>45582.5023415162</v>
      </c>
      <c r="B41" s="13" t="n">
        <v>45582.502516794</v>
      </c>
      <c r="C41" s="18" t="n">
        <f aca="false">(B41-A41)</f>
        <v>0.000175277777777778</v>
      </c>
      <c r="D41" s="19" t="n">
        <f aca="false">CEILING(C41,"00:00:05")</f>
        <v>0.000231481481481482</v>
      </c>
      <c r="E41" s="43" t="s">
        <v>98</v>
      </c>
      <c r="F41" s="48" t="n">
        <v>8.27662037037037E-005</v>
      </c>
      <c r="G41" s="49" t="n">
        <v>1</v>
      </c>
    </row>
    <row r="42" customFormat="false" ht="15" hidden="false" customHeight="false" outlineLevel="0" collapsed="false">
      <c r="A42" s="13" t="n">
        <v>45582.5026743982</v>
      </c>
      <c r="B42" s="13" t="n">
        <v>45582.5027820833</v>
      </c>
      <c r="C42" s="18" t="n">
        <f aca="false">(B42-A42)</f>
        <v>0.000107685185185185</v>
      </c>
      <c r="D42" s="19" t="n">
        <f aca="false">CEILING(C42,"00:00:05")</f>
        <v>0.000115740740740741</v>
      </c>
      <c r="E42" s="43" t="n">
        <v>4</v>
      </c>
      <c r="F42" s="48" t="n">
        <v>8.38773148148148E-005</v>
      </c>
      <c r="G42" s="49" t="n">
        <v>1</v>
      </c>
    </row>
    <row r="43" customFormat="false" ht="26.1" hidden="false" customHeight="false" outlineLevel="0" collapsed="false">
      <c r="A43" s="13" t="n">
        <v>45582.50373875</v>
      </c>
      <c r="B43" s="13" t="n">
        <v>45582.503976412</v>
      </c>
      <c r="C43" s="18" t="n">
        <f aca="false">(B43-A43)</f>
        <v>0.000237662037037037</v>
      </c>
      <c r="D43" s="19" t="n">
        <f aca="false">CEILING(C43,"00:00:05")</f>
        <v>0.000289351851851852</v>
      </c>
      <c r="E43" s="43" t="s">
        <v>99</v>
      </c>
      <c r="F43" s="48" t="n">
        <v>8.68402777777778E-005</v>
      </c>
      <c r="G43" s="49" t="n">
        <v>1</v>
      </c>
    </row>
    <row r="44" customFormat="false" ht="15" hidden="false" customHeight="false" outlineLevel="0" collapsed="false">
      <c r="A44" s="13" t="n">
        <v>45582.5040859838</v>
      </c>
      <c r="B44" s="13" t="n">
        <v>45582.5042301968</v>
      </c>
      <c r="C44" s="18" t="n">
        <f aca="false">(B44-A44)</f>
        <v>0.000144212962962963</v>
      </c>
      <c r="D44" s="19" t="n">
        <f aca="false">CEILING(C44,"00:00:05")</f>
        <v>0.000173611111111111</v>
      </c>
      <c r="E44" s="43" t="n">
        <v>4</v>
      </c>
      <c r="F44" s="48" t="n">
        <v>8.77662037037037E-005</v>
      </c>
      <c r="G44" s="49" t="n">
        <v>1</v>
      </c>
    </row>
    <row r="45" customFormat="false" ht="15" hidden="false" customHeight="false" outlineLevel="0" collapsed="false">
      <c r="A45" s="13" t="n">
        <v>45582.5044862963</v>
      </c>
      <c r="B45" s="13" t="n">
        <v>45582.504639537</v>
      </c>
      <c r="C45" s="18" t="n">
        <f aca="false">(B45-A45)</f>
        <v>0.000153240740740741</v>
      </c>
      <c r="D45" s="19" t="n">
        <f aca="false">CEILING(C45,"00:00:05")</f>
        <v>0.000173611111111111</v>
      </c>
      <c r="E45" s="43" t="n">
        <v>1</v>
      </c>
      <c r="F45" s="48" t="n">
        <v>9.27199074074074E-005</v>
      </c>
      <c r="G45" s="49" t="n">
        <v>1</v>
      </c>
    </row>
    <row r="46" customFormat="false" ht="15" hidden="false" customHeight="false" outlineLevel="0" collapsed="false">
      <c r="A46" s="13" t="n">
        <v>45582.5049087616</v>
      </c>
      <c r="B46" s="13" t="n">
        <v>45582.5052746759</v>
      </c>
      <c r="C46" s="18" t="n">
        <f aca="false">(B46-A46)</f>
        <v>0.000365914351851852</v>
      </c>
      <c r="D46" s="19" t="n">
        <f aca="false">CEILING(C46,"00:00:05")</f>
        <v>0.000405092592592593</v>
      </c>
      <c r="E46" s="43" t="n">
        <v>4</v>
      </c>
      <c r="F46" s="48" t="n">
        <v>9.30092592592593E-005</v>
      </c>
      <c r="G46" s="49" t="n">
        <v>1</v>
      </c>
    </row>
    <row r="47" customFormat="false" ht="15" hidden="false" customHeight="false" outlineLevel="0" collapsed="false">
      <c r="A47" s="13" t="n">
        <v>45582.5057701273</v>
      </c>
      <c r="B47" s="13" t="n">
        <v>45582.5062615741</v>
      </c>
      <c r="C47" s="18" t="n">
        <f aca="false">(B47-A47)</f>
        <v>0.000491446759259259</v>
      </c>
      <c r="D47" s="19" t="n">
        <f aca="false">CEILING(C47,"00:00:05")</f>
        <v>0.000520833333333333</v>
      </c>
      <c r="E47" s="43" t="s">
        <v>100</v>
      </c>
      <c r="F47" s="48" t="n">
        <v>9.34027777777778E-005</v>
      </c>
      <c r="G47" s="49" t="n">
        <v>1</v>
      </c>
    </row>
    <row r="48" customFormat="false" ht="51.1" hidden="false" customHeight="false" outlineLevel="0" collapsed="false">
      <c r="A48" s="13" t="n">
        <v>45582.506931794</v>
      </c>
      <c r="B48" s="13" t="n">
        <v>45582.5073200926</v>
      </c>
      <c r="C48" s="18" t="n">
        <f aca="false">(B48-A48)</f>
        <v>0.000388298611111111</v>
      </c>
      <c r="D48" s="19" t="n">
        <f aca="false">CEILING(C48,"00:00:05")</f>
        <v>0.000405092592592593</v>
      </c>
      <c r="E48" s="43" t="s">
        <v>101</v>
      </c>
      <c r="F48" s="48" t="n">
        <v>9.35185185185185E-005</v>
      </c>
      <c r="G48" s="49" t="n">
        <v>1</v>
      </c>
    </row>
    <row r="49" customFormat="false" ht="15" hidden="false" customHeight="false" outlineLevel="0" collapsed="false">
      <c r="A49" s="13" t="n">
        <v>45582.5075277083</v>
      </c>
      <c r="B49" s="13" t="n">
        <v>45582.5077460301</v>
      </c>
      <c r="C49" s="18" t="n">
        <f aca="false">(B49-A49)</f>
        <v>0.000218321759259259</v>
      </c>
      <c r="D49" s="19" t="n">
        <f aca="false">CEILING(C49,"00:00:05")</f>
        <v>0.000231481481481482</v>
      </c>
      <c r="E49" s="43" t="n">
        <v>4</v>
      </c>
      <c r="F49" s="48" t="n">
        <v>9.58796180555556E-005</v>
      </c>
      <c r="G49" s="49" t="n">
        <v>1</v>
      </c>
    </row>
    <row r="50" customFormat="false" ht="26.1" hidden="false" customHeight="false" outlineLevel="0" collapsed="false">
      <c r="A50" s="13" t="n">
        <v>45582.5084533796</v>
      </c>
      <c r="B50" s="13" t="n">
        <v>45582.5087318287</v>
      </c>
      <c r="C50" s="18" t="n">
        <f aca="false">(B50-A50)</f>
        <v>0.000278449074074074</v>
      </c>
      <c r="D50" s="19" t="n">
        <f aca="false">CEILING(C50,"00:00:05")</f>
        <v>0.000289351851851852</v>
      </c>
      <c r="E50" s="43" t="s">
        <v>102</v>
      </c>
      <c r="F50" s="48" t="n">
        <v>9.63773148148148E-005</v>
      </c>
      <c r="G50" s="49" t="n">
        <v>1</v>
      </c>
    </row>
    <row r="51" customFormat="false" ht="15" hidden="false" customHeight="false" outlineLevel="0" collapsed="false">
      <c r="A51" s="13" t="n">
        <v>45582.5090493287</v>
      </c>
      <c r="B51" s="13" t="n">
        <v>45582.5096952315</v>
      </c>
      <c r="C51" s="18" t="n">
        <f aca="false">(B51-A51)</f>
        <v>0.000645902766203704</v>
      </c>
      <c r="D51" s="19" t="n">
        <f aca="false">CEILING(C51,"00:00:05")</f>
        <v>0.000694444444444445</v>
      </c>
      <c r="E51" s="43" t="s">
        <v>103</v>
      </c>
      <c r="F51" s="48" t="n">
        <v>9.76157407407407E-005</v>
      </c>
      <c r="G51" s="49" t="n">
        <v>1</v>
      </c>
    </row>
    <row r="52" customFormat="false" ht="15" hidden="false" customHeight="false" outlineLevel="0" collapsed="false">
      <c r="A52" s="13" t="n">
        <v>45582.5102996759</v>
      </c>
      <c r="B52" s="13" t="n">
        <v>45582.5113300694</v>
      </c>
      <c r="C52" s="18" t="n">
        <f aca="false">(B52-A52)</f>
        <v>0.00103039351851852</v>
      </c>
      <c r="D52" s="19" t="n">
        <f aca="false">CEILING(C52,"00:00:05")</f>
        <v>0.00104166666666667</v>
      </c>
      <c r="E52" s="43" t="s">
        <v>104</v>
      </c>
      <c r="F52" s="48" t="n">
        <v>9.78356481481481E-005</v>
      </c>
      <c r="G52" s="49" t="n">
        <v>1</v>
      </c>
    </row>
    <row r="53" customFormat="false" ht="26.1" hidden="false" customHeight="false" outlineLevel="0" collapsed="false">
      <c r="A53" s="13" t="n">
        <v>45582.5119486458</v>
      </c>
      <c r="B53" s="13" t="n">
        <v>45582.5120913426</v>
      </c>
      <c r="C53" s="18" t="n">
        <f aca="false">(B53-A53)</f>
        <v>0.000142696759259259</v>
      </c>
      <c r="D53" s="19" t="n">
        <f aca="false">CEILING(C53,"00:00:05")</f>
        <v>0.000173611111111111</v>
      </c>
      <c r="E53" s="43" t="s">
        <v>105</v>
      </c>
      <c r="F53" s="48" t="n">
        <v>9.79050925925926E-005</v>
      </c>
      <c r="G53" s="49" t="n">
        <v>1</v>
      </c>
    </row>
    <row r="54" customFormat="false" ht="15" hidden="false" customHeight="false" outlineLevel="0" collapsed="false">
      <c r="A54" s="13" t="n">
        <v>45583.6067377546</v>
      </c>
      <c r="B54" s="13" t="n">
        <v>45583.6069113889</v>
      </c>
      <c r="C54" s="18" t="n">
        <f aca="false">(B54-A54)</f>
        <v>0.000173634259259259</v>
      </c>
      <c r="D54" s="19" t="n">
        <f aca="false">CEILING(C54,"00:00:05")</f>
        <v>0.000231481481481482</v>
      </c>
      <c r="E54" s="50" t="s">
        <v>106</v>
      </c>
      <c r="F54" s="48" t="n">
        <v>0.000100023148148148</v>
      </c>
      <c r="G54" s="49" t="n">
        <v>1</v>
      </c>
    </row>
    <row r="55" customFormat="false" ht="15" hidden="false" customHeight="false" outlineLevel="0" collapsed="false">
      <c r="A55" s="13" t="n">
        <v>45583.607242338</v>
      </c>
      <c r="B55" s="13" t="n">
        <v>45583.6074811574</v>
      </c>
      <c r="C55" s="18" t="n">
        <f aca="false">(B55-A55)</f>
        <v>0.000238819444444444</v>
      </c>
      <c r="D55" s="19" t="n">
        <f aca="false">CEILING(C55,"00:00:05")</f>
        <v>0.000289351851851852</v>
      </c>
      <c r="E55" s="51" t="s">
        <v>107</v>
      </c>
      <c r="F55" s="48" t="n">
        <v>0.000101273148148148</v>
      </c>
      <c r="G55" s="49" t="n">
        <v>1</v>
      </c>
    </row>
    <row r="56" customFormat="false" ht="15" hidden="false" customHeight="false" outlineLevel="0" collapsed="false">
      <c r="A56" s="13" t="n">
        <v>45583.6078799421</v>
      </c>
      <c r="B56" s="13" t="n">
        <v>45583.6080407986</v>
      </c>
      <c r="C56" s="18" t="n">
        <f aca="false">(B56-A56)</f>
        <v>0.000160856481481481</v>
      </c>
      <c r="D56" s="19" t="n">
        <f aca="false">CEILING(C56,"00:00:05")</f>
        <v>0.000173611111111111</v>
      </c>
      <c r="E56" s="50" t="n">
        <v>4</v>
      </c>
      <c r="F56" s="48" t="n">
        <v>0.000103668981481482</v>
      </c>
      <c r="G56" s="49" t="n">
        <v>1</v>
      </c>
    </row>
    <row r="57" customFormat="false" ht="15" hidden="false" customHeight="false" outlineLevel="0" collapsed="false">
      <c r="A57" s="13" t="n">
        <v>45583.6084571875</v>
      </c>
      <c r="B57" s="13" t="n">
        <v>45583.6085875232</v>
      </c>
      <c r="C57" s="18" t="n">
        <f aca="false">(B57-A57)</f>
        <v>0.000130335648148148</v>
      </c>
      <c r="D57" s="19" t="n">
        <f aca="false">CEILING(C57,"00:00:05")</f>
        <v>0.000173611111111111</v>
      </c>
      <c r="E57" s="50" t="n">
        <v>1</v>
      </c>
      <c r="F57" s="48" t="n">
        <v>0.00010412037037037</v>
      </c>
      <c r="G57" s="49" t="n">
        <v>1</v>
      </c>
    </row>
    <row r="58" customFormat="false" ht="15" hidden="false" customHeight="false" outlineLevel="0" collapsed="false">
      <c r="A58" s="13" t="n">
        <v>45583.6090893866</v>
      </c>
      <c r="B58" s="13" t="n">
        <v>45583.609328044</v>
      </c>
      <c r="C58" s="18" t="n">
        <f aca="false">(B58-A58)</f>
        <v>0.000238657407407407</v>
      </c>
      <c r="D58" s="19" t="n">
        <f aca="false">CEILING(C58,"00:00:05")</f>
        <v>0.000289351851851852</v>
      </c>
      <c r="E58" s="50" t="s">
        <v>108</v>
      </c>
      <c r="F58" s="48" t="n">
        <v>0.000105335648148148</v>
      </c>
      <c r="G58" s="49" t="n">
        <v>1</v>
      </c>
    </row>
    <row r="59" customFormat="false" ht="15" hidden="false" customHeight="false" outlineLevel="0" collapsed="false">
      <c r="A59" s="13" t="n">
        <v>45583.6097143519</v>
      </c>
      <c r="B59" s="13" t="n">
        <v>45583.6099341782</v>
      </c>
      <c r="C59" s="18" t="n">
        <f aca="false">(B59-A59)</f>
        <v>0.000219826388888889</v>
      </c>
      <c r="D59" s="19" t="n">
        <f aca="false">CEILING(C59,"00:00:05")</f>
        <v>0.000231481481481482</v>
      </c>
      <c r="E59" s="50" t="n">
        <v>3</v>
      </c>
      <c r="F59" s="48" t="n">
        <v>0.000105925925925926</v>
      </c>
      <c r="G59" s="49" t="n">
        <v>1</v>
      </c>
    </row>
    <row r="60" customFormat="false" ht="15" hidden="false" customHeight="false" outlineLevel="0" collapsed="false">
      <c r="A60" s="13" t="n">
        <v>45583.6105207292</v>
      </c>
      <c r="B60" s="13" t="n">
        <v>45583.6106900347</v>
      </c>
      <c r="C60" s="18" t="n">
        <f aca="false">(B60-A60)</f>
        <v>0.000169305555555556</v>
      </c>
      <c r="D60" s="19" t="n">
        <f aca="false">CEILING(C60,"00:00:05")</f>
        <v>0.000173611111111111</v>
      </c>
      <c r="E60" s="50" t="s">
        <v>109</v>
      </c>
      <c r="F60" s="48" t="n">
        <v>0.00010712962962963</v>
      </c>
      <c r="G60" s="49" t="n">
        <v>1</v>
      </c>
    </row>
    <row r="61" customFormat="false" ht="15" hidden="false" customHeight="false" outlineLevel="0" collapsed="false">
      <c r="A61" s="13" t="n">
        <v>45583.6121566898</v>
      </c>
      <c r="B61" s="13" t="n">
        <v>45583.6123232407</v>
      </c>
      <c r="C61" s="18" t="n">
        <f aca="false">(B61-A61)</f>
        <v>0.000166550925925926</v>
      </c>
      <c r="D61" s="19" t="n">
        <f aca="false">CEILING(C61,"00:00:05")</f>
        <v>0.000173611111111111</v>
      </c>
      <c r="E61" s="50" t="n">
        <v>3</v>
      </c>
      <c r="F61" s="48" t="n">
        <v>0.000107685185185185</v>
      </c>
      <c r="G61" s="49" t="n">
        <v>1</v>
      </c>
    </row>
    <row r="62" customFormat="false" ht="15" hidden="false" customHeight="false" outlineLevel="0" collapsed="false">
      <c r="A62" s="13" t="n">
        <v>45583.6135203704</v>
      </c>
      <c r="B62" s="13" t="n">
        <v>45583.613809838</v>
      </c>
      <c r="C62" s="18" t="n">
        <f aca="false">(B62-A62)</f>
        <v>0.000289467592592593</v>
      </c>
      <c r="D62" s="19" t="n">
        <f aca="false">CEILING(C62,"00:00:05")</f>
        <v>0.000347222222222222</v>
      </c>
      <c r="E62" s="50" t="s">
        <v>110</v>
      </c>
      <c r="F62" s="48" t="n">
        <v>0.000108599537037037</v>
      </c>
      <c r="G62" s="49" t="n">
        <v>1</v>
      </c>
    </row>
    <row r="63" customFormat="false" ht="15" hidden="false" customHeight="false" outlineLevel="0" collapsed="false">
      <c r="A63" s="13" t="n">
        <v>45583.6144690972</v>
      </c>
      <c r="B63" s="13" t="n">
        <v>45583.6146633333</v>
      </c>
      <c r="C63" s="18" t="n">
        <f aca="false">(B63-A63)</f>
        <v>0.000194236111111111</v>
      </c>
      <c r="D63" s="19" t="n">
        <f aca="false">CEILING(C63,"00:00:05")</f>
        <v>0.000231481481481482</v>
      </c>
      <c r="E63" s="50" t="s">
        <v>111</v>
      </c>
      <c r="F63" s="48" t="n">
        <v>0.000109409722222222</v>
      </c>
      <c r="G63" s="49" t="n">
        <v>1</v>
      </c>
    </row>
    <row r="64" customFormat="false" ht="15" hidden="false" customHeight="false" outlineLevel="0" collapsed="false">
      <c r="A64" s="13" t="n">
        <v>45583.6150586574</v>
      </c>
      <c r="B64" s="13" t="n">
        <v>45583.6153829514</v>
      </c>
      <c r="C64" s="18" t="n">
        <f aca="false">(B64-A64)</f>
        <v>0.000324293981481481</v>
      </c>
      <c r="D64" s="19" t="n">
        <f aca="false">CEILING(C64,"00:00:05")</f>
        <v>0.000347222222222222</v>
      </c>
      <c r="E64" s="50" t="s">
        <v>112</v>
      </c>
      <c r="F64" s="48" t="n">
        <v>0.000110358796296296</v>
      </c>
      <c r="G64" s="49" t="n">
        <v>1</v>
      </c>
    </row>
    <row r="65" customFormat="false" ht="15" hidden="false" customHeight="false" outlineLevel="0" collapsed="false">
      <c r="A65" s="13" t="n">
        <v>45583.6156263889</v>
      </c>
      <c r="B65" s="13" t="n">
        <v>45583.615768206</v>
      </c>
      <c r="C65" s="18" t="n">
        <f aca="false">(B65-A65)</f>
        <v>0.00014181712962963</v>
      </c>
      <c r="D65" s="19" t="n">
        <f aca="false">CEILING(C65,"00:00:05")</f>
        <v>0.000173611111111111</v>
      </c>
      <c r="E65" s="50" t="n">
        <v>1</v>
      </c>
      <c r="F65" s="48" t="n">
        <v>0.000111527777777778</v>
      </c>
      <c r="G65" s="49" t="n">
        <v>1</v>
      </c>
    </row>
    <row r="66" customFormat="false" ht="15" hidden="false" customHeight="false" outlineLevel="0" collapsed="false">
      <c r="A66" s="13" t="n">
        <v>45583.6159926505</v>
      </c>
      <c r="B66" s="13" t="n">
        <v>45583.6160585764</v>
      </c>
      <c r="C66" s="18" t="n">
        <f aca="false">(B66-A66)</f>
        <v>6.59259259259259E-005</v>
      </c>
      <c r="D66" s="19" t="n">
        <f aca="false">CEILING(C66,"00:00:05")</f>
        <v>0.000115740740740741</v>
      </c>
      <c r="E66" s="50" t="s">
        <v>113</v>
      </c>
      <c r="F66" s="48" t="n">
        <v>0.000111643518518519</v>
      </c>
      <c r="G66" s="49" t="n">
        <v>1</v>
      </c>
    </row>
    <row r="67" customFormat="false" ht="15" hidden="false" customHeight="false" outlineLevel="0" collapsed="false">
      <c r="A67" s="13" t="n">
        <v>45583.6165393519</v>
      </c>
      <c r="B67" s="13" t="n">
        <v>45583.6167389236</v>
      </c>
      <c r="C67" s="18" t="n">
        <f aca="false">(B67-A67)</f>
        <v>0.000199571759259259</v>
      </c>
      <c r="D67" s="19" t="n">
        <f aca="false">CEILING(C67,"00:00:05")</f>
        <v>0.000231481481481482</v>
      </c>
      <c r="E67" s="50" t="s">
        <v>111</v>
      </c>
      <c r="F67" s="48" t="n">
        <v>0.000111770833333333</v>
      </c>
      <c r="G67" s="49" t="n">
        <v>1</v>
      </c>
    </row>
    <row r="68" customFormat="false" ht="15" hidden="false" customHeight="false" outlineLevel="0" collapsed="false">
      <c r="A68" s="13" t="n">
        <v>45583.6172335185</v>
      </c>
      <c r="B68" s="13" t="n">
        <v>45583.6173619213</v>
      </c>
      <c r="C68" s="18" t="n">
        <f aca="false">(B68-A68)</f>
        <v>0.000128402777777778</v>
      </c>
      <c r="D68" s="19" t="n">
        <f aca="false">CEILING(C68,"00:00:05")</f>
        <v>0.000173611111111111</v>
      </c>
      <c r="E68" s="50" t="n">
        <v>1</v>
      </c>
      <c r="F68" s="48" t="n">
        <v>0.000114953703703704</v>
      </c>
      <c r="G68" s="49" t="n">
        <v>1</v>
      </c>
    </row>
    <row r="69" customFormat="false" ht="15" hidden="false" customHeight="false" outlineLevel="0" collapsed="false">
      <c r="A69" s="13" t="n">
        <v>45583.6211729745</v>
      </c>
      <c r="B69" s="13" t="n">
        <v>45583.621309919</v>
      </c>
      <c r="C69" s="18" t="n">
        <f aca="false">(B69-A69)</f>
        <v>0.000136944456018519</v>
      </c>
      <c r="D69" s="19" t="n">
        <f aca="false">CEILING(C69,"00:00:05")</f>
        <v>0.000173611111111111</v>
      </c>
      <c r="E69" s="50" t="s">
        <v>114</v>
      </c>
      <c r="F69" s="48" t="n">
        <v>0.000115150462962963</v>
      </c>
      <c r="G69" s="49" t="n">
        <v>1</v>
      </c>
    </row>
    <row r="70" customFormat="false" ht="15" hidden="false" customHeight="false" outlineLevel="0" collapsed="false">
      <c r="A70" s="13" t="n">
        <v>45583.6219487153</v>
      </c>
      <c r="B70" s="13" t="n">
        <v>45583.6221438079</v>
      </c>
      <c r="C70" s="18" t="n">
        <f aca="false">(B70-A70)</f>
        <v>0.000195092592592593</v>
      </c>
      <c r="D70" s="19" t="n">
        <f aca="false">CEILING(C70,"00:00:05")</f>
        <v>0.000231481481481482</v>
      </c>
      <c r="E70" s="50" t="s">
        <v>115</v>
      </c>
      <c r="F70" s="48" t="n">
        <v>0.000116111111111111</v>
      </c>
      <c r="G70" s="49" t="n">
        <v>1</v>
      </c>
    </row>
    <row r="71" customFormat="false" ht="15" hidden="false" customHeight="false" outlineLevel="0" collapsed="false">
      <c r="A71" s="13" t="n">
        <v>45583.6230348032</v>
      </c>
      <c r="B71" s="13" t="n">
        <v>45583.6232390162</v>
      </c>
      <c r="C71" s="18" t="n">
        <f aca="false">(B71-A71)</f>
        <v>0.000204212962962963</v>
      </c>
      <c r="D71" s="19" t="n">
        <f aca="false">CEILING(C71,"00:00:05")</f>
        <v>0.000231481481481482</v>
      </c>
      <c r="E71" s="50" t="s">
        <v>116</v>
      </c>
      <c r="F71" s="48" t="n">
        <v>0.000117152777777778</v>
      </c>
      <c r="G71" s="49" t="n">
        <v>1</v>
      </c>
    </row>
    <row r="72" customFormat="false" ht="15" hidden="false" customHeight="false" outlineLevel="0" collapsed="false">
      <c r="A72" s="13" t="n">
        <v>45583.6241532639</v>
      </c>
      <c r="B72" s="13" t="n">
        <v>45583.6243808565</v>
      </c>
      <c r="C72" s="18" t="n">
        <f aca="false">(B72-A72)</f>
        <v>0.000227592592592593</v>
      </c>
      <c r="D72" s="19" t="n">
        <f aca="false">CEILING(C72,"00:00:05")</f>
        <v>0.000231481481481482</v>
      </c>
      <c r="E72" s="0" t="s">
        <v>117</v>
      </c>
      <c r="F72" s="48" t="n">
        <v>0.000118252314814815</v>
      </c>
      <c r="G72" s="49" t="n">
        <v>1</v>
      </c>
    </row>
    <row r="73" customFormat="false" ht="15" hidden="false" customHeight="false" outlineLevel="0" collapsed="false">
      <c r="A73" s="13" t="n">
        <v>45583.625411713</v>
      </c>
      <c r="B73" s="13" t="n">
        <v>45583.6256073843</v>
      </c>
      <c r="C73" s="18" t="n">
        <f aca="false">(B73-A73)</f>
        <v>0.000195671296296296</v>
      </c>
      <c r="D73" s="19" t="n">
        <f aca="false">CEILING(C73,"00:00:05")</f>
        <v>0.000231481481481482</v>
      </c>
      <c r="E73" s="50" t="n">
        <v>3</v>
      </c>
      <c r="F73" s="48" t="n">
        <v>0.000118425925925926</v>
      </c>
      <c r="G73" s="49" t="n">
        <v>1</v>
      </c>
    </row>
    <row r="74" customFormat="false" ht="15" hidden="false" customHeight="false" outlineLevel="0" collapsed="false">
      <c r="A74" s="13" t="n">
        <v>45582.7892221759</v>
      </c>
      <c r="B74" s="13" t="n">
        <v>45582.7893156944</v>
      </c>
      <c r="C74" s="18" t="n">
        <f aca="false">(B74-A74)</f>
        <v>9.35185185185185E-005</v>
      </c>
      <c r="D74" s="19" t="n">
        <f aca="false">CEILING(C74,"00:00:05")</f>
        <v>0.000115740740740741</v>
      </c>
      <c r="E74" s="50" t="s">
        <v>118</v>
      </c>
      <c r="F74" s="48" t="n">
        <v>0.000118946770833333</v>
      </c>
      <c r="G74" s="49" t="n">
        <v>1</v>
      </c>
    </row>
    <row r="75" customFormat="false" ht="15" hidden="false" customHeight="false" outlineLevel="0" collapsed="false">
      <c r="A75" s="13" t="n">
        <v>45582.789954838</v>
      </c>
      <c r="B75" s="13" t="n">
        <v>45582.7901781829</v>
      </c>
      <c r="C75" s="18" t="n">
        <f aca="false">(B75-A75)</f>
        <v>0.000223344907407407</v>
      </c>
      <c r="D75" s="19" t="n">
        <f aca="false">CEILING(C75,"00:00:05")</f>
        <v>0.000231481481481482</v>
      </c>
      <c r="E75" s="43" t="s">
        <v>119</v>
      </c>
      <c r="F75" s="48" t="n">
        <v>0.000119398148148148</v>
      </c>
      <c r="G75" s="49" t="n">
        <v>1</v>
      </c>
    </row>
    <row r="76" customFormat="false" ht="15" hidden="false" customHeight="false" outlineLevel="0" collapsed="false">
      <c r="A76" s="13" t="n">
        <v>45582.7905330903</v>
      </c>
      <c r="B76" s="13" t="n">
        <v>45582.7906309259</v>
      </c>
      <c r="C76" s="18" t="n">
        <f aca="false">(B76-A76)</f>
        <v>9.78356481481481E-005</v>
      </c>
      <c r="D76" s="19" t="n">
        <f aca="false">CEILING(C76,"00:00:05")</f>
        <v>0.000115740740740741</v>
      </c>
      <c r="E76" s="52" t="n">
        <v>3</v>
      </c>
      <c r="F76" s="48" t="n">
        <v>0.000120173611111111</v>
      </c>
      <c r="G76" s="49" t="n">
        <v>2</v>
      </c>
    </row>
    <row r="77" customFormat="false" ht="15" hidden="false" customHeight="false" outlineLevel="0" collapsed="false">
      <c r="A77" s="13" t="n">
        <v>45582.7907336111</v>
      </c>
      <c r="B77" s="13" t="n">
        <v>45582.7908451389</v>
      </c>
      <c r="C77" s="18" t="n">
        <f aca="false">(B77-A77)</f>
        <v>0.000111527777777778</v>
      </c>
      <c r="D77" s="19" t="n">
        <f aca="false">CEILING(C77,"00:00:05")</f>
        <v>0.000115740740740741</v>
      </c>
      <c r="E77" s="52" t="n">
        <v>2</v>
      </c>
      <c r="F77" s="48" t="n">
        <v>0.000120416666666667</v>
      </c>
      <c r="G77" s="49" t="n">
        <v>1</v>
      </c>
    </row>
    <row r="78" customFormat="false" ht="15" hidden="false" customHeight="false" outlineLevel="0" collapsed="false">
      <c r="A78" s="13" t="n">
        <v>45582.7911098958</v>
      </c>
      <c r="B78" s="13" t="n">
        <v>45582.7912615741</v>
      </c>
      <c r="C78" s="18" t="n">
        <f aca="false">(B78-A78)</f>
        <v>0.000151678240740741</v>
      </c>
      <c r="D78" s="19" t="n">
        <f aca="false">CEILING(C78,"00:00:05")</f>
        <v>0.000173611111111111</v>
      </c>
      <c r="E78" s="50" t="s">
        <v>120</v>
      </c>
      <c r="F78" s="48" t="n">
        <v>0.00012099537037037</v>
      </c>
      <c r="G78" s="49" t="n">
        <v>1</v>
      </c>
    </row>
    <row r="79" customFormat="false" ht="15" hidden="false" customHeight="false" outlineLevel="0" collapsed="false">
      <c r="A79" s="13" t="n">
        <v>45582.7916442824</v>
      </c>
      <c r="B79" s="13" t="n">
        <v>45582.7917778357</v>
      </c>
      <c r="C79" s="18" t="n">
        <f aca="false">(B79-A79)</f>
        <v>0.000133553240740741</v>
      </c>
      <c r="D79" s="19" t="n">
        <f aca="false">CEILING(C79,"00:00:05")</f>
        <v>0.000173611111111111</v>
      </c>
      <c r="E79" s="50" t="s">
        <v>121</v>
      </c>
      <c r="F79" s="48" t="n">
        <v>0.00012125</v>
      </c>
      <c r="G79" s="49" t="n">
        <v>1</v>
      </c>
    </row>
    <row r="80" customFormat="false" ht="15" hidden="false" customHeight="false" outlineLevel="0" collapsed="false">
      <c r="A80" s="13" t="n">
        <v>45582.7922038426</v>
      </c>
      <c r="B80" s="13" t="n">
        <v>45582.7923468981</v>
      </c>
      <c r="C80" s="18" t="n">
        <f aca="false">(B80-A80)</f>
        <v>0.000143055555555556</v>
      </c>
      <c r="D80" s="19" t="n">
        <f aca="false">CEILING(C80,"00:00:05")</f>
        <v>0.000173611111111111</v>
      </c>
      <c r="E80" s="52" t="n">
        <v>2</v>
      </c>
      <c r="F80" s="48" t="n">
        <v>0.000122534722222222</v>
      </c>
      <c r="G80" s="49" t="n">
        <v>1</v>
      </c>
    </row>
    <row r="81" customFormat="false" ht="15" hidden="false" customHeight="false" outlineLevel="0" collapsed="false">
      <c r="A81" s="13" t="n">
        <v>45582.7930325579</v>
      </c>
      <c r="B81" s="13" t="n">
        <v>45582.7932291667</v>
      </c>
      <c r="C81" s="18" t="n">
        <f aca="false">(B81-A81)</f>
        <v>0.000196608796296296</v>
      </c>
      <c r="D81" s="19" t="n">
        <f aca="false">CEILING(C81,"00:00:05")</f>
        <v>0.000231481481481482</v>
      </c>
      <c r="E81" s="50" t="s">
        <v>122</v>
      </c>
      <c r="F81" s="48" t="n">
        <v>0.000123032407407407</v>
      </c>
      <c r="G81" s="49" t="n">
        <v>1</v>
      </c>
    </row>
    <row r="82" customFormat="false" ht="15" hidden="false" customHeight="false" outlineLevel="0" collapsed="false">
      <c r="A82" s="13" t="n">
        <v>45582.7944147222</v>
      </c>
      <c r="B82" s="13" t="n">
        <v>45582.7945351389</v>
      </c>
      <c r="C82" s="18" t="n">
        <f aca="false">(B82-A82)</f>
        <v>0.000120416666666667</v>
      </c>
      <c r="D82" s="19" t="n">
        <f aca="false">CEILING(C82,"00:00:05")</f>
        <v>0.000173611111111111</v>
      </c>
      <c r="E82" s="52" t="n">
        <v>4</v>
      </c>
      <c r="F82" s="48" t="n">
        <v>0.000124502314814815</v>
      </c>
      <c r="G82" s="49" t="n">
        <v>1</v>
      </c>
    </row>
    <row r="83" customFormat="false" ht="15" hidden="false" customHeight="false" outlineLevel="0" collapsed="false">
      <c r="A83" s="13" t="n">
        <v>45582.7954974653</v>
      </c>
      <c r="B83" s="13" t="n">
        <v>45582.7963188773</v>
      </c>
      <c r="C83" s="18" t="n">
        <f aca="false">(B83-A83)</f>
        <v>0.000821412037037037</v>
      </c>
      <c r="D83" s="19" t="n">
        <f aca="false">CEILING(C83,"00:00:05")</f>
        <v>0.000868055555555556</v>
      </c>
      <c r="E83" s="52" t="n">
        <v>4</v>
      </c>
      <c r="F83" s="48" t="n">
        <v>0.000124861111111111</v>
      </c>
      <c r="G83" s="49" t="n">
        <v>1</v>
      </c>
    </row>
    <row r="84" customFormat="false" ht="15" hidden="false" customHeight="false" outlineLevel="0" collapsed="false">
      <c r="A84" s="13" t="n">
        <v>45582.796534537</v>
      </c>
      <c r="B84" s="13" t="n">
        <v>45582.7966496875</v>
      </c>
      <c r="C84" s="18" t="n">
        <f aca="false">(B84-A84)</f>
        <v>0.000115150462962963</v>
      </c>
      <c r="D84" s="19" t="n">
        <f aca="false">CEILING(C84,"00:00:05")</f>
        <v>0.000115740740740741</v>
      </c>
      <c r="E84" s="52" t="n">
        <v>4</v>
      </c>
      <c r="F84" s="48" t="n">
        <v>0.000125439814814815</v>
      </c>
      <c r="G84" s="49" t="n">
        <v>1</v>
      </c>
    </row>
    <row r="85" customFormat="false" ht="15" hidden="false" customHeight="false" outlineLevel="0" collapsed="false">
      <c r="A85" s="13" t="n">
        <v>45582.7975101273</v>
      </c>
      <c r="B85" s="13" t="n">
        <v>45582.7976586921</v>
      </c>
      <c r="C85" s="18" t="n">
        <f aca="false">(B85-A85)</f>
        <v>0.000148564814814815</v>
      </c>
      <c r="D85" s="19" t="n">
        <f aca="false">CEILING(C85,"00:00:05")</f>
        <v>0.000173611111111111</v>
      </c>
      <c r="E85" s="50" t="s">
        <v>123</v>
      </c>
      <c r="F85" s="48" t="n">
        <v>0.000125532407407407</v>
      </c>
      <c r="G85" s="49" t="n">
        <v>1</v>
      </c>
    </row>
    <row r="86" customFormat="false" ht="15" hidden="false" customHeight="false" outlineLevel="0" collapsed="false">
      <c r="A86" s="13" t="n">
        <v>45582.7995006366</v>
      </c>
      <c r="B86" s="13" t="n">
        <v>45582.7996077662</v>
      </c>
      <c r="C86" s="18" t="n">
        <f aca="false">(B86-A86)</f>
        <v>0.00010712962962963</v>
      </c>
      <c r="D86" s="19" t="n">
        <f aca="false">CEILING(C86,"00:00:05")</f>
        <v>0.000115740740740741</v>
      </c>
      <c r="E86" s="52" t="n">
        <v>4</v>
      </c>
      <c r="F86" s="48" t="n">
        <v>0.000126053240740741</v>
      </c>
      <c r="G86" s="49" t="n">
        <v>1</v>
      </c>
    </row>
    <row r="87" customFormat="false" ht="15" hidden="false" customHeight="false" outlineLevel="0" collapsed="false">
      <c r="A87" s="13" t="n">
        <v>45582.7998307523</v>
      </c>
      <c r="B87" s="13" t="n">
        <v>45582.7999561921</v>
      </c>
      <c r="C87" s="18" t="n">
        <f aca="false">(B87-A87)</f>
        <v>0.000125439814814815</v>
      </c>
      <c r="D87" s="19" t="n">
        <f aca="false">CEILING(C87,"00:00:05")</f>
        <v>0.000173611111111111</v>
      </c>
      <c r="E87" s="50" t="s">
        <v>124</v>
      </c>
      <c r="F87" s="48" t="n">
        <v>0.000127280092592593</v>
      </c>
      <c r="G87" s="49" t="n">
        <v>1</v>
      </c>
    </row>
    <row r="88" customFormat="false" ht="15" hidden="false" customHeight="false" outlineLevel="0" collapsed="false">
      <c r="A88" s="13" t="n">
        <v>45582.8001783681</v>
      </c>
      <c r="B88" s="13" t="n">
        <v>45582.8003294792</v>
      </c>
      <c r="C88" s="18" t="n">
        <f aca="false">(B88-A88)</f>
        <v>0.000151111111111111</v>
      </c>
      <c r="D88" s="19" t="n">
        <f aca="false">CEILING(C88,"00:00:05")</f>
        <v>0.000173611111111111</v>
      </c>
      <c r="E88" s="50" t="s">
        <v>125</v>
      </c>
      <c r="F88" s="48" t="n">
        <v>0.000127708333333333</v>
      </c>
      <c r="G88" s="49" t="n">
        <v>1</v>
      </c>
    </row>
    <row r="89" customFormat="false" ht="15" hidden="false" customHeight="false" outlineLevel="0" collapsed="false">
      <c r="A89" s="13" t="n">
        <v>45582.8014671759</v>
      </c>
      <c r="B89" s="13" t="n">
        <v>45582.8015420486</v>
      </c>
      <c r="C89" s="18" t="n">
        <f aca="false">(B89-A89)</f>
        <v>7.48726851851852E-005</v>
      </c>
      <c r="D89" s="19" t="n">
        <f aca="false">CEILING(C89,"00:00:05")</f>
        <v>0.000115740740740741</v>
      </c>
      <c r="E89" s="52" t="n">
        <v>2</v>
      </c>
      <c r="F89" s="48" t="n">
        <v>0.000127893518518519</v>
      </c>
      <c r="G89" s="49" t="n">
        <v>1</v>
      </c>
    </row>
    <row r="90" customFormat="false" ht="15" hidden="false" customHeight="false" outlineLevel="0" collapsed="false">
      <c r="A90" s="13" t="n">
        <v>45582.8029665741</v>
      </c>
      <c r="B90" s="13" t="n">
        <v>45582.8031026042</v>
      </c>
      <c r="C90" s="18" t="n">
        <f aca="false">(B90-A90)</f>
        <v>0.000136030092592593</v>
      </c>
      <c r="D90" s="19" t="n">
        <f aca="false">CEILING(C90,"00:00:05")</f>
        <v>0.000173611111111111</v>
      </c>
      <c r="E90" s="50" t="s">
        <v>126</v>
      </c>
      <c r="F90" s="48" t="n">
        <v>0.000128402777777778</v>
      </c>
      <c r="G90" s="49" t="n">
        <v>1</v>
      </c>
    </row>
    <row r="91" customFormat="false" ht="15" hidden="false" customHeight="false" outlineLevel="0" collapsed="false">
      <c r="A91" s="13" t="n">
        <v>45582.8035341898</v>
      </c>
      <c r="B91" s="13" t="n">
        <v>45582.803686331</v>
      </c>
      <c r="C91" s="18" t="n">
        <f aca="false">(B91-A91)</f>
        <v>0.000152141203703704</v>
      </c>
      <c r="D91" s="19" t="n">
        <f aca="false">CEILING(C91,"00:00:05")</f>
        <v>0.000173611111111111</v>
      </c>
      <c r="E91" s="50" t="s">
        <v>127</v>
      </c>
      <c r="F91" s="48" t="n">
        <v>0.00012849537037037</v>
      </c>
      <c r="G91" s="49" t="n">
        <v>1</v>
      </c>
    </row>
    <row r="92" customFormat="false" ht="15" hidden="false" customHeight="false" outlineLevel="0" collapsed="false">
      <c r="A92" s="13" t="n">
        <v>45582.8039377199</v>
      </c>
      <c r="B92" s="13" t="n">
        <v>45582.8045039931</v>
      </c>
      <c r="C92" s="18" t="n">
        <f aca="false">(B92-A92)</f>
        <v>0.000566273148148148</v>
      </c>
      <c r="D92" s="19" t="n">
        <f aca="false">CEILING(C92,"00:00:05")</f>
        <v>0.000578703703703704</v>
      </c>
      <c r="E92" s="52" t="n">
        <v>3</v>
      </c>
      <c r="F92" s="48" t="n">
        <v>0.000128680555555556</v>
      </c>
      <c r="G92" s="49" t="n">
        <v>1</v>
      </c>
    </row>
    <row r="93" customFormat="false" ht="15" hidden="false" customHeight="false" outlineLevel="0" collapsed="false">
      <c r="A93" s="13" t="n">
        <v>45582.812531169</v>
      </c>
      <c r="B93" s="13" t="n">
        <v>45582.8125691435</v>
      </c>
      <c r="C93" s="18" t="n">
        <f aca="false">(B93-A93)</f>
        <v>3.7974537037037E-005</v>
      </c>
      <c r="D93" s="19" t="n">
        <f aca="false">CEILING(C93,"00:00:05")</f>
        <v>5.78703703703704E-005</v>
      </c>
      <c r="E93" s="50" t="s">
        <v>128</v>
      </c>
      <c r="F93" s="48" t="n">
        <v>0.000130335648148148</v>
      </c>
      <c r="G93" s="49" t="n">
        <v>1</v>
      </c>
    </row>
    <row r="94" customFormat="false" ht="15" hidden="false" customHeight="false" outlineLevel="0" collapsed="false">
      <c r="A94" s="13" t="n">
        <v>45587.8226912732</v>
      </c>
      <c r="B94" s="13" t="n">
        <v>45587.8228197685</v>
      </c>
      <c r="C94" s="18" t="n">
        <f aca="false">(B94-A94)</f>
        <v>0.00012849537037037</v>
      </c>
      <c r="D94" s="19" t="n">
        <f aca="false">CEILING(C94,"00:00:05")</f>
        <v>0.000173611111111111</v>
      </c>
      <c r="E94" s="43" t="s">
        <v>129</v>
      </c>
      <c r="F94" s="48" t="n">
        <v>0.0001315625</v>
      </c>
      <c r="G94" s="49" t="n">
        <v>1</v>
      </c>
    </row>
    <row r="95" customFormat="false" ht="15" hidden="false" customHeight="false" outlineLevel="0" collapsed="false">
      <c r="A95" s="13" t="n">
        <v>45587.8239494676</v>
      </c>
      <c r="B95" s="13" t="n">
        <v>45587.8240921991</v>
      </c>
      <c r="C95" s="18" t="n">
        <f aca="false">(B95-A95)</f>
        <v>0.000142731481481482</v>
      </c>
      <c r="D95" s="19" t="n">
        <f aca="false">CEILING(C95,"00:00:05")</f>
        <v>0.000173611111111111</v>
      </c>
      <c r="E95" s="43" t="s">
        <v>130</v>
      </c>
      <c r="F95" s="48" t="n">
        <v>0.000133553240740741</v>
      </c>
      <c r="G95" s="49" t="n">
        <v>1</v>
      </c>
    </row>
    <row r="96" customFormat="false" ht="15" hidden="false" customHeight="false" outlineLevel="0" collapsed="false">
      <c r="A96" s="13" t="n">
        <v>45587.8242713079</v>
      </c>
      <c r="B96" s="13" t="n">
        <v>45587.8246210764</v>
      </c>
      <c r="C96" s="18" t="n">
        <f aca="false">(B96-A96)</f>
        <v>0.000349768518518519</v>
      </c>
      <c r="D96" s="19" t="n">
        <f aca="false">CEILING(C96,"00:00:05")</f>
        <v>0.000405092592592593</v>
      </c>
      <c r="E96" s="53" t="n">
        <v>3</v>
      </c>
      <c r="F96" s="48" t="n">
        <v>0.000133576388888889</v>
      </c>
      <c r="G96" s="49" t="n">
        <v>1</v>
      </c>
    </row>
    <row r="97" customFormat="false" ht="15" hidden="false" customHeight="false" outlineLevel="0" collapsed="false">
      <c r="A97" s="13" t="n">
        <v>45587.8256623958</v>
      </c>
      <c r="B97" s="13" t="n">
        <v>45587.8260330093</v>
      </c>
      <c r="C97" s="18" t="n">
        <f aca="false">(B97-A97)</f>
        <v>0.000370613425925926</v>
      </c>
      <c r="D97" s="19" t="n">
        <f aca="false">CEILING(C97,"00:00:05")</f>
        <v>0.000405092592592593</v>
      </c>
      <c r="E97" s="43" t="s">
        <v>131</v>
      </c>
      <c r="F97" s="48" t="n">
        <v>0.000134710648148148</v>
      </c>
      <c r="G97" s="49" t="n">
        <v>1</v>
      </c>
    </row>
    <row r="98" customFormat="false" ht="15" hidden="false" customHeight="false" outlineLevel="0" collapsed="false">
      <c r="A98" s="13" t="n">
        <v>45587.8262483449</v>
      </c>
      <c r="B98" s="13" t="n">
        <v>45587.8263695949</v>
      </c>
      <c r="C98" s="18" t="n">
        <f aca="false">(B98-A98)</f>
        <v>0.00012125</v>
      </c>
      <c r="D98" s="19" t="n">
        <f aca="false">CEILING(C98,"00:00:05")</f>
        <v>0.000173611111111111</v>
      </c>
      <c r="E98" s="53" t="n">
        <v>3</v>
      </c>
      <c r="F98" s="48" t="n">
        <v>0.000135983796296296</v>
      </c>
      <c r="G98" s="49" t="n">
        <v>1</v>
      </c>
    </row>
    <row r="99" customFormat="false" ht="15" hidden="false" customHeight="false" outlineLevel="0" collapsed="false">
      <c r="A99" s="13" t="n">
        <v>45587.8270785995</v>
      </c>
      <c r="B99" s="13" t="n">
        <v>45587.8271968519</v>
      </c>
      <c r="C99" s="18" t="n">
        <f aca="false">(B99-A99)</f>
        <v>0.000118252314814815</v>
      </c>
      <c r="D99" s="19" t="n">
        <f aca="false">CEILING(C99,"00:00:05")</f>
        <v>0.000173611111111111</v>
      </c>
      <c r="E99" s="43" t="s">
        <v>132</v>
      </c>
      <c r="F99" s="48" t="n">
        <v>0.000136030092592593</v>
      </c>
      <c r="G99" s="49" t="n">
        <v>1</v>
      </c>
    </row>
    <row r="100" customFormat="false" ht="15" hidden="false" customHeight="false" outlineLevel="0" collapsed="false">
      <c r="A100" s="13" t="n">
        <v>45587.8274231944</v>
      </c>
      <c r="B100" s="13" t="n">
        <v>45587.8276041667</v>
      </c>
      <c r="C100" s="18" t="n">
        <f aca="false">(B100-A100)</f>
        <v>0.000180972222222222</v>
      </c>
      <c r="D100" s="19" t="n">
        <f aca="false">CEILING(C100,"00:00:05")</f>
        <v>0.000231481481481482</v>
      </c>
      <c r="E100" s="53" t="n">
        <v>4</v>
      </c>
      <c r="F100" s="48" t="n">
        <v>0.000136574074074074</v>
      </c>
      <c r="G100" s="49" t="n">
        <v>1</v>
      </c>
    </row>
    <row r="101" customFormat="false" ht="15" hidden="false" customHeight="false" outlineLevel="0" collapsed="false">
      <c r="A101" s="13" t="n">
        <v>45587.8281733218</v>
      </c>
      <c r="B101" s="13" t="n">
        <v>45587.8283493519</v>
      </c>
      <c r="C101" s="18" t="n">
        <f aca="false">(B101-A101)</f>
        <v>0.000176030092592593</v>
      </c>
      <c r="D101" s="19" t="n">
        <f aca="false">CEILING(C101,"00:00:05")</f>
        <v>0.000231481481481482</v>
      </c>
      <c r="E101" s="43" t="s">
        <v>133</v>
      </c>
      <c r="F101" s="48" t="n">
        <v>0.000136712962962963</v>
      </c>
      <c r="G101" s="49" t="n">
        <v>1</v>
      </c>
    </row>
    <row r="102" customFormat="false" ht="15" hidden="false" customHeight="false" outlineLevel="0" collapsed="false">
      <c r="A102" s="13" t="n">
        <v>45587.8286449653</v>
      </c>
      <c r="B102" s="13" t="n">
        <v>45587.8288083449</v>
      </c>
      <c r="C102" s="18" t="n">
        <f aca="false">(B102-A102)</f>
        <v>0.00016337962962963</v>
      </c>
      <c r="D102" s="19" t="n">
        <f aca="false">CEILING(C102,"00:00:05")</f>
        <v>0.000173611111111111</v>
      </c>
      <c r="E102" s="53" t="n">
        <v>3</v>
      </c>
      <c r="F102" s="48" t="n">
        <v>0.000136944444444444</v>
      </c>
      <c r="G102" s="49" t="n">
        <v>1</v>
      </c>
    </row>
    <row r="103" customFormat="false" ht="15" hidden="false" customHeight="false" outlineLevel="0" collapsed="false">
      <c r="A103" s="13" t="n">
        <v>45587.829277037</v>
      </c>
      <c r="B103" s="13" t="n">
        <v>45587.8294541204</v>
      </c>
      <c r="C103" s="18" t="n">
        <f aca="false">(B103-A103)</f>
        <v>0.000177083333333333</v>
      </c>
      <c r="D103" s="19" t="n">
        <f aca="false">CEILING(C103,"00:00:05")</f>
        <v>0.000231481481481482</v>
      </c>
      <c r="E103" s="43" t="s">
        <v>134</v>
      </c>
      <c r="F103" s="48" t="n">
        <v>0.000136944456018519</v>
      </c>
      <c r="G103" s="49" t="n">
        <v>1</v>
      </c>
    </row>
    <row r="104" customFormat="false" ht="15" hidden="false" customHeight="false" outlineLevel="0" collapsed="false">
      <c r="A104" s="13" t="n">
        <v>45587.829967338</v>
      </c>
      <c r="B104" s="13" t="n">
        <v>45587.8302476968</v>
      </c>
      <c r="C104" s="18" t="n">
        <f aca="false">(B104-A104)</f>
        <v>0.000280358796296296</v>
      </c>
      <c r="D104" s="19" t="n">
        <f aca="false">CEILING(C104,"00:00:05")</f>
        <v>0.000289351851851852</v>
      </c>
      <c r="E104" s="43" t="s">
        <v>135</v>
      </c>
      <c r="F104" s="48" t="n">
        <v>0.000137395833333333</v>
      </c>
      <c r="G104" s="49" t="n">
        <v>1</v>
      </c>
    </row>
    <row r="105" customFormat="false" ht="15" hidden="false" customHeight="false" outlineLevel="0" collapsed="false">
      <c r="A105" s="13" t="n">
        <v>45587.8303945718</v>
      </c>
      <c r="B105" s="13" t="n">
        <v>45587.8305135185</v>
      </c>
      <c r="C105" s="18" t="n">
        <f aca="false">(B105-A105)</f>
        <v>0.000118946770833333</v>
      </c>
      <c r="D105" s="19" t="n">
        <f aca="false">CEILING(C105,"00:00:05")</f>
        <v>0.000173611111111111</v>
      </c>
      <c r="E105" s="53" t="n">
        <v>4</v>
      </c>
      <c r="F105" s="48" t="n">
        <v>0.000138148148148148</v>
      </c>
      <c r="G105" s="49" t="n">
        <v>1</v>
      </c>
    </row>
    <row r="106" customFormat="false" ht="15" hidden="false" customHeight="false" outlineLevel="0" collapsed="false">
      <c r="A106" s="13" t="n">
        <v>45587.8309030324</v>
      </c>
      <c r="B106" s="13" t="n">
        <v>45587.8310146759</v>
      </c>
      <c r="C106" s="18" t="n">
        <f aca="false">(B106-A106)</f>
        <v>0.000111643518518519</v>
      </c>
      <c r="D106" s="19" t="n">
        <f aca="false">CEILING(C106,"00:00:05")</f>
        <v>0.000115740740740741</v>
      </c>
      <c r="E106" s="53" t="n">
        <v>4</v>
      </c>
      <c r="F106" s="48" t="n">
        <v>0.000139606481481481</v>
      </c>
      <c r="G106" s="49" t="n">
        <v>1</v>
      </c>
    </row>
    <row r="107" customFormat="false" ht="15" hidden="false" customHeight="false" outlineLevel="0" collapsed="false">
      <c r="A107" s="13" t="n">
        <v>45587.8316537384</v>
      </c>
      <c r="B107" s="13" t="n">
        <v>45587.8318850694</v>
      </c>
      <c r="C107" s="18" t="n">
        <f aca="false">(B107-A107)</f>
        <v>0.000231331018518519</v>
      </c>
      <c r="D107" s="19" t="n">
        <f aca="false">CEILING(C107,"00:00:05")</f>
        <v>0.000231481481481482</v>
      </c>
      <c r="E107" s="43" t="s">
        <v>136</v>
      </c>
      <c r="F107" s="48" t="n">
        <v>0.000139884259259259</v>
      </c>
      <c r="G107" s="49" t="n">
        <v>1</v>
      </c>
    </row>
    <row r="108" customFormat="false" ht="15" hidden="false" customHeight="false" outlineLevel="0" collapsed="false">
      <c r="A108" s="13" t="n">
        <v>45587.8321713194</v>
      </c>
      <c r="B108" s="13" t="n">
        <v>45587.8323890278</v>
      </c>
      <c r="C108" s="18" t="n">
        <f aca="false">(B108-A108)</f>
        <v>0.000217708333333333</v>
      </c>
      <c r="D108" s="19" t="n">
        <f aca="false">CEILING(C108,"00:00:05")</f>
        <v>0.000231481481481482</v>
      </c>
      <c r="E108" s="53" t="n">
        <v>4</v>
      </c>
      <c r="F108" s="48" t="n">
        <v>0.00014181712962963</v>
      </c>
      <c r="G108" s="49" t="n">
        <v>1</v>
      </c>
    </row>
    <row r="109" customFormat="false" ht="15" hidden="false" customHeight="false" outlineLevel="0" collapsed="false">
      <c r="A109" s="13" t="n">
        <v>45587.8326991551</v>
      </c>
      <c r="B109" s="13" t="n">
        <v>45587.8329071181</v>
      </c>
      <c r="C109" s="18" t="n">
        <f aca="false">(B109-A109)</f>
        <v>0.000207962962962963</v>
      </c>
      <c r="D109" s="19" t="n">
        <f aca="false">CEILING(C109,"00:00:05")</f>
        <v>0.000231481481481482</v>
      </c>
      <c r="E109" s="43" t="s">
        <v>137</v>
      </c>
      <c r="F109" s="48" t="n">
        <v>0.000142696759259259</v>
      </c>
      <c r="G109" s="49" t="n">
        <v>1</v>
      </c>
    </row>
    <row r="110" customFormat="false" ht="15" hidden="false" customHeight="false" outlineLevel="0" collapsed="false">
      <c r="A110" s="13" t="n">
        <v>45582.4026005208</v>
      </c>
      <c r="B110" s="13" t="n">
        <v>45582.4026725231</v>
      </c>
      <c r="C110" s="18" t="n">
        <f aca="false">(B110-A110)</f>
        <v>7.20023032407407E-005</v>
      </c>
      <c r="D110" s="19" t="n">
        <f aca="false">CEILING(C110,"00:00:05")</f>
        <v>0.000115740740740741</v>
      </c>
      <c r="E110" s="54" t="s">
        <v>138</v>
      </c>
      <c r="F110" s="48" t="n">
        <v>0.000142731481481482</v>
      </c>
      <c r="G110" s="49" t="n">
        <v>1</v>
      </c>
    </row>
    <row r="111" customFormat="false" ht="15" hidden="false" customHeight="false" outlineLevel="0" collapsed="false">
      <c r="A111" s="13" t="n">
        <v>45582.4028737384</v>
      </c>
      <c r="B111" s="13" t="n">
        <v>45582.4029931366</v>
      </c>
      <c r="C111" s="18" t="n">
        <f aca="false">(B111-A111)</f>
        <v>0.000119398148148148</v>
      </c>
      <c r="D111" s="19" t="n">
        <f aca="false">CEILING(C111,"00:00:05")</f>
        <v>0.000173611111111111</v>
      </c>
      <c r="E111" s="55" t="s">
        <v>139</v>
      </c>
      <c r="F111" s="48" t="n">
        <v>0.00014290508988779</v>
      </c>
      <c r="G111" s="49" t="n">
        <v>1</v>
      </c>
    </row>
    <row r="112" customFormat="false" ht="15" hidden="false" customHeight="false" outlineLevel="0" collapsed="false">
      <c r="A112" s="13" t="n">
        <v>45582.4040506366</v>
      </c>
      <c r="B112" s="13" t="n">
        <v>45582.4044388426</v>
      </c>
      <c r="C112" s="18" t="n">
        <f aca="false">(B112-A112)</f>
        <v>0.000388206018518518</v>
      </c>
      <c r="D112" s="19" t="n">
        <f aca="false">CEILING(C112,"00:00:05")</f>
        <v>0.000405092592592593</v>
      </c>
      <c r="E112" s="54" t="s">
        <v>140</v>
      </c>
      <c r="F112" s="48" t="n">
        <v>0.000143055555555556</v>
      </c>
      <c r="G112" s="49" t="n">
        <v>1</v>
      </c>
    </row>
    <row r="113" customFormat="false" ht="15" hidden="false" customHeight="false" outlineLevel="0" collapsed="false">
      <c r="A113" s="13" t="n">
        <v>45582.4073139352</v>
      </c>
      <c r="B113" s="13" t="n">
        <v>45582.407479375</v>
      </c>
      <c r="C113" s="18" t="n">
        <f aca="false">(B113-A113)</f>
        <v>0.000165439814814815</v>
      </c>
      <c r="D113" s="19" t="n">
        <f aca="false">CEILING(C113,"00:00:05")</f>
        <v>0.000173611111111111</v>
      </c>
      <c r="E113" s="54" t="s">
        <v>141</v>
      </c>
      <c r="F113" s="48" t="n">
        <v>0.000143217592592593</v>
      </c>
      <c r="G113" s="49" t="n">
        <v>1</v>
      </c>
    </row>
    <row r="114" customFormat="false" ht="15" hidden="false" customHeight="false" outlineLevel="0" collapsed="false">
      <c r="A114" s="13" t="n">
        <v>45582.4077007292</v>
      </c>
      <c r="B114" s="13" t="n">
        <v>45582.4079297107</v>
      </c>
      <c r="C114" s="18" t="n">
        <f aca="false">(B114-A114)</f>
        <v>0.000228981493055556</v>
      </c>
      <c r="D114" s="19" t="n">
        <f aca="false">CEILING(C114,"00:00:05")</f>
        <v>0.000231481481481482</v>
      </c>
      <c r="E114" s="54" t="s">
        <v>142</v>
      </c>
      <c r="F114" s="48" t="n">
        <v>0.000144212962962963</v>
      </c>
      <c r="G114" s="49" t="n">
        <v>1</v>
      </c>
    </row>
    <row r="115" customFormat="false" ht="15" hidden="false" customHeight="false" outlineLevel="0" collapsed="false">
      <c r="A115" s="13" t="n">
        <v>45582.4082459838</v>
      </c>
      <c r="B115" s="13" t="n">
        <v>45582.4083858681</v>
      </c>
      <c r="C115" s="18" t="n">
        <f aca="false">(B115-A115)</f>
        <v>0.000139884259259259</v>
      </c>
      <c r="D115" s="19" t="n">
        <f aca="false">CEILING(C115,"00:00:05")</f>
        <v>0.000173611111111111</v>
      </c>
      <c r="E115" s="54" t="n">
        <v>2</v>
      </c>
      <c r="F115" s="48" t="n">
        <v>0.000144270833333333</v>
      </c>
      <c r="G115" s="49" t="n">
        <v>1</v>
      </c>
    </row>
    <row r="116" customFormat="false" ht="15" hidden="false" customHeight="false" outlineLevel="0" collapsed="false">
      <c r="A116" s="13" t="n">
        <v>45582.408689294</v>
      </c>
      <c r="B116" s="13" t="n">
        <v>45582.408843044</v>
      </c>
      <c r="C116" s="18" t="n">
        <f aca="false">(B116-A116)</f>
        <v>0.00015375</v>
      </c>
      <c r="D116" s="19" t="n">
        <f aca="false">CEILING(C116,"00:00:05")</f>
        <v>0.000173611111111111</v>
      </c>
      <c r="E116" s="54" t="s">
        <v>143</v>
      </c>
      <c r="F116" s="48" t="n">
        <v>0.000144583333333333</v>
      </c>
      <c r="G116" s="49" t="n">
        <v>1</v>
      </c>
    </row>
    <row r="117" customFormat="false" ht="15" hidden="false" customHeight="false" outlineLevel="0" collapsed="false">
      <c r="A117" s="13" t="n">
        <v>45582.4090423611</v>
      </c>
      <c r="B117" s="13" t="n">
        <v>45582.4091402662</v>
      </c>
      <c r="C117" s="18" t="n">
        <f aca="false">(B117-A117)</f>
        <v>9.79050925925926E-005</v>
      </c>
      <c r="D117" s="19" t="n">
        <f aca="false">CEILING(C117,"00:00:05")</f>
        <v>0.000115740740740741</v>
      </c>
      <c r="E117" s="54" t="n">
        <v>3</v>
      </c>
      <c r="F117" s="48" t="n">
        <v>0.000145277777777778</v>
      </c>
      <c r="G117" s="49" t="n">
        <v>1</v>
      </c>
    </row>
    <row r="118" customFormat="false" ht="15" hidden="false" customHeight="false" outlineLevel="0" collapsed="false">
      <c r="A118" s="13" t="n">
        <v>45582.4095611574</v>
      </c>
      <c r="B118" s="13" t="n">
        <v>45582.4096993056</v>
      </c>
      <c r="C118" s="18" t="n">
        <f aca="false">(B118-A118)</f>
        <v>0.000138148148148148</v>
      </c>
      <c r="D118" s="19" t="n">
        <f aca="false">CEILING(C118,"00:00:05")</f>
        <v>0.000173611111111111</v>
      </c>
      <c r="E118" s="54" t="s">
        <v>144</v>
      </c>
      <c r="F118" s="48" t="n">
        <v>0.000146331030092593</v>
      </c>
      <c r="G118" s="49" t="n">
        <v>1</v>
      </c>
    </row>
    <row r="119" customFormat="false" ht="15" hidden="false" customHeight="false" outlineLevel="0" collapsed="false">
      <c r="A119" s="13" t="n">
        <v>45582.4103342824</v>
      </c>
      <c r="B119" s="13" t="n">
        <v>45582.410462963</v>
      </c>
      <c r="C119" s="18" t="n">
        <f aca="false">(B119-A119)</f>
        <v>0.000128680555555556</v>
      </c>
      <c r="D119" s="19" t="n">
        <f aca="false">CEILING(C119,"00:00:05")</f>
        <v>0.000173611111111111</v>
      </c>
      <c r="E119" s="54" t="n">
        <v>4</v>
      </c>
      <c r="F119" s="48" t="n">
        <v>0.000148564814814815</v>
      </c>
      <c r="G119" s="49" t="n">
        <v>1</v>
      </c>
    </row>
    <row r="120" customFormat="false" ht="15" hidden="false" customHeight="false" outlineLevel="0" collapsed="false">
      <c r="A120" s="13" t="n">
        <v>45582.4105636921</v>
      </c>
      <c r="B120" s="13" t="n">
        <v>45582.4106786458</v>
      </c>
      <c r="C120" s="18" t="n">
        <f aca="false">(B120-A120)</f>
        <v>0.000114953703703704</v>
      </c>
      <c r="D120" s="19" t="n">
        <f aca="false">CEILING(C120,"00:00:05")</f>
        <v>0.000115740740740741</v>
      </c>
      <c r="E120" s="54" t="n">
        <v>1</v>
      </c>
      <c r="F120" s="48" t="n">
        <v>0.000150706018518519</v>
      </c>
      <c r="G120" s="49" t="n">
        <v>1</v>
      </c>
    </row>
    <row r="121" customFormat="false" ht="15" hidden="false" customHeight="false" outlineLevel="0" collapsed="false">
      <c r="A121" s="13" t="n">
        <v>45582.4114538657</v>
      </c>
      <c r="B121" s="13" t="n">
        <v>45582.4115885764</v>
      </c>
      <c r="C121" s="18" t="n">
        <f aca="false">(B121-A121)</f>
        <v>0.000134710648148148</v>
      </c>
      <c r="D121" s="19" t="n">
        <f aca="false">CEILING(C121,"00:00:05")</f>
        <v>0.000173611111111111</v>
      </c>
      <c r="E121" s="54" t="s">
        <v>145</v>
      </c>
      <c r="F121" s="48" t="n">
        <v>0.000151111111111111</v>
      </c>
      <c r="G121" s="49" t="n">
        <v>1</v>
      </c>
    </row>
    <row r="122" customFormat="false" ht="15" hidden="false" customHeight="false" outlineLevel="0" collapsed="false">
      <c r="A122" s="13" t="n">
        <v>45582.4118151389</v>
      </c>
      <c r="B122" s="13" t="n">
        <v>45582.4119204745</v>
      </c>
      <c r="C122" s="18" t="n">
        <f aca="false">(B122-A122)</f>
        <v>0.000105335648148148</v>
      </c>
      <c r="D122" s="19" t="n">
        <f aca="false">CEILING(C122,"00:00:05")</f>
        <v>0.000115740740740741</v>
      </c>
      <c r="E122" s="54" t="n">
        <v>4</v>
      </c>
      <c r="F122" s="48" t="n">
        <v>0.000151678240740741</v>
      </c>
      <c r="G122" s="49" t="n">
        <v>1</v>
      </c>
    </row>
    <row r="123" customFormat="false" ht="15" hidden="false" customHeight="false" outlineLevel="0" collapsed="false">
      <c r="A123" s="13" t="n">
        <v>45582.4126377083</v>
      </c>
      <c r="B123" s="13" t="n">
        <v>45582.4128756829</v>
      </c>
      <c r="C123" s="18" t="n">
        <f aca="false">(B123-A123)</f>
        <v>0.000237974537037037</v>
      </c>
      <c r="D123" s="19" t="n">
        <f aca="false">CEILING(C123,"00:00:05")</f>
        <v>0.000289351851851852</v>
      </c>
      <c r="E123" s="54" t="s">
        <v>146</v>
      </c>
      <c r="F123" s="48" t="n">
        <v>0.000151875011574074</v>
      </c>
      <c r="G123" s="49" t="n">
        <v>1</v>
      </c>
    </row>
    <row r="124" customFormat="false" ht="15" hidden="false" customHeight="false" outlineLevel="0" collapsed="false">
      <c r="A124" s="13" t="n">
        <v>45582.4153574074</v>
      </c>
      <c r="B124" s="13" t="n">
        <v>45582.4155539352</v>
      </c>
      <c r="C124" s="18" t="n">
        <f aca="false">(B124-A124)</f>
        <v>0.000196527777777778</v>
      </c>
      <c r="D124" s="19" t="n">
        <f aca="false">CEILING(C124,"00:00:05")</f>
        <v>0.000231481481481482</v>
      </c>
      <c r="E124" s="54" t="n">
        <v>2</v>
      </c>
      <c r="F124" s="48" t="n">
        <v>0.00015212962962963</v>
      </c>
      <c r="G124" s="49" t="n">
        <v>1</v>
      </c>
    </row>
    <row r="125" customFormat="false" ht="15" hidden="false" customHeight="false" outlineLevel="0" collapsed="false">
      <c r="A125" s="13" t="n">
        <v>45582.4158887732</v>
      </c>
      <c r="B125" s="13" t="n">
        <v>45582.4160475</v>
      </c>
      <c r="C125" s="18" t="n">
        <f aca="false">(B125-A125)</f>
        <v>0.000158726851851852</v>
      </c>
      <c r="D125" s="19" t="n">
        <f aca="false">CEILING(C125,"00:00:05")</f>
        <v>0.000173611111111111</v>
      </c>
      <c r="E125" s="54" t="s">
        <v>147</v>
      </c>
      <c r="F125" s="48" t="n">
        <v>0.00015214119212963</v>
      </c>
      <c r="G125" s="49" t="n">
        <v>1</v>
      </c>
    </row>
    <row r="126" customFormat="false" ht="26.1" hidden="false" customHeight="false" outlineLevel="0" collapsed="false">
      <c r="A126" s="13" t="n">
        <v>45581.7159198611</v>
      </c>
      <c r="B126" s="13" t="n">
        <v>45581.7172112037</v>
      </c>
      <c r="C126" s="18" t="n">
        <f aca="false">(B126-A126)</f>
        <v>0.00129134259259259</v>
      </c>
      <c r="D126" s="19" t="n">
        <f aca="false">CEILING(C126,"00:00:05")</f>
        <v>0.00133101851851852</v>
      </c>
      <c r="E126" s="54" t="s">
        <v>148</v>
      </c>
      <c r="F126" s="48" t="n">
        <v>0.000152141203703704</v>
      </c>
      <c r="G126" s="49" t="n">
        <v>1</v>
      </c>
    </row>
    <row r="127" customFormat="false" ht="15" hidden="false" customHeight="false" outlineLevel="0" collapsed="false">
      <c r="A127" s="13" t="n">
        <v>45582.403341713</v>
      </c>
      <c r="B127" s="13" t="n">
        <v>45582.4035939236</v>
      </c>
      <c r="C127" s="18" t="n">
        <f aca="false">(B127-A127)</f>
        <v>0.000252210648148148</v>
      </c>
      <c r="D127" s="19" t="n">
        <f aca="false">CEILING(C127,"00:00:05")</f>
        <v>0.000289351851851852</v>
      </c>
      <c r="E127" s="54" t="s">
        <v>149</v>
      </c>
      <c r="F127" s="48" t="n">
        <v>0.000152777777777778</v>
      </c>
      <c r="G127" s="49" t="n">
        <v>1</v>
      </c>
    </row>
    <row r="128" customFormat="false" ht="15" hidden="false" customHeight="false" outlineLevel="0" collapsed="false">
      <c r="A128" s="13" t="n">
        <v>45582.4055357986</v>
      </c>
      <c r="B128" s="13" t="n">
        <v>45582.4058494907</v>
      </c>
      <c r="C128" s="18" t="n">
        <f aca="false">(B128-A128)</f>
        <v>0.00031369212962963</v>
      </c>
      <c r="D128" s="19" t="n">
        <f aca="false">CEILING(C128,"00:00:05")</f>
        <v>0.000347222222222222</v>
      </c>
      <c r="E128" s="54" t="s">
        <v>150</v>
      </c>
      <c r="F128" s="48" t="n">
        <v>0.000153240740740741</v>
      </c>
      <c r="G128" s="49" t="n">
        <v>1</v>
      </c>
    </row>
    <row r="129" customFormat="false" ht="26.1" hidden="false" customHeight="false" outlineLevel="0" collapsed="false">
      <c r="A129" s="13" t="n">
        <v>45582.4079896181</v>
      </c>
      <c r="B129" s="13" t="n">
        <v>45582.408245706</v>
      </c>
      <c r="C129" s="18" t="n">
        <f aca="false">(B129-A129)</f>
        <v>0.000256087962962963</v>
      </c>
      <c r="D129" s="19" t="n">
        <f aca="false">CEILING(C129,"00:00:05")</f>
        <v>0.000289351851851852</v>
      </c>
      <c r="E129" s="54" t="s">
        <v>151</v>
      </c>
      <c r="F129" s="48" t="n">
        <v>0.00015375</v>
      </c>
      <c r="G129" s="49" t="n">
        <v>1</v>
      </c>
    </row>
    <row r="130" customFormat="false" ht="15" hidden="false" customHeight="false" outlineLevel="0" collapsed="false">
      <c r="A130" s="13" t="n">
        <v>45593.6223680671</v>
      </c>
      <c r="B130" s="13" t="n">
        <v>45593.6225489352</v>
      </c>
      <c r="C130" s="18" t="n">
        <f aca="false">(B130-A130)</f>
        <v>0.000180868055555556</v>
      </c>
      <c r="D130" s="19" t="n">
        <f aca="false">CEILING(C130,"00:00:05")</f>
        <v>0.000231481481481482</v>
      </c>
      <c r="E130" s="54" t="s">
        <v>152</v>
      </c>
      <c r="F130" s="48" t="n">
        <v>0.000154722222222222</v>
      </c>
      <c r="G130" s="49" t="n">
        <v>1</v>
      </c>
    </row>
    <row r="131" customFormat="false" ht="15" hidden="false" customHeight="false" outlineLevel="0" collapsed="false">
      <c r="A131" s="13" t="n">
        <v>45593.6227051505</v>
      </c>
      <c r="B131" s="13" t="n">
        <v>45593.6227929167</v>
      </c>
      <c r="C131" s="18" t="n">
        <f aca="false">(B131-A131)</f>
        <v>8.77662037037037E-005</v>
      </c>
      <c r="D131" s="19" t="n">
        <f aca="false">CEILING(C131,"00:00:05")</f>
        <v>0.000115740740740741</v>
      </c>
      <c r="E131" s="54" t="n">
        <v>3</v>
      </c>
      <c r="F131" s="48" t="n">
        <v>0.000156134259259259</v>
      </c>
      <c r="G131" s="49" t="n">
        <v>1</v>
      </c>
    </row>
    <row r="132" customFormat="false" ht="15" hidden="false" customHeight="false" outlineLevel="0" collapsed="false">
      <c r="A132" s="13" t="n">
        <v>45593.6235562037</v>
      </c>
      <c r="B132" s="13" t="n">
        <v>45593.6237152778</v>
      </c>
      <c r="C132" s="18" t="n">
        <f aca="false">(B132-A132)</f>
        <v>0.000159074074074074</v>
      </c>
      <c r="D132" s="19" t="n">
        <f aca="false">CEILING(C132,"00:00:05")</f>
        <v>0.000173611111111111</v>
      </c>
      <c r="E132" s="54" t="s">
        <v>153</v>
      </c>
      <c r="F132" s="48" t="n">
        <v>0.000156354166666667</v>
      </c>
      <c r="G132" s="49" t="n">
        <v>1</v>
      </c>
    </row>
    <row r="133" customFormat="false" ht="15" hidden="false" customHeight="false" outlineLevel="0" collapsed="false">
      <c r="A133" s="13" t="n">
        <v>45593.6240444329</v>
      </c>
      <c r="B133" s="13" t="n">
        <v>45593.6241408102</v>
      </c>
      <c r="C133" s="18" t="n">
        <f aca="false">(B133-A133)</f>
        <v>9.63773148148148E-005</v>
      </c>
      <c r="D133" s="19" t="n">
        <f aca="false">CEILING(C133,"00:00:05")</f>
        <v>0.000115740740740741</v>
      </c>
      <c r="E133" s="54" t="s">
        <v>154</v>
      </c>
      <c r="F133" s="48" t="n">
        <v>0.000156909722222222</v>
      </c>
      <c r="G133" s="49" t="n">
        <v>1</v>
      </c>
    </row>
    <row r="134" customFormat="false" ht="26.1" hidden="false" customHeight="false" outlineLevel="0" collapsed="false">
      <c r="A134" s="13" t="n">
        <v>45593.6249811921</v>
      </c>
      <c r="B134" s="13" t="n">
        <v>45593.625236956</v>
      </c>
      <c r="C134" s="18" t="n">
        <f aca="false">(B134-A134)</f>
        <v>0.000255763888888889</v>
      </c>
      <c r="D134" s="19" t="n">
        <f aca="false">CEILING(C134,"00:00:05")</f>
        <v>0.000289351851851852</v>
      </c>
      <c r="E134" s="54" t="s">
        <v>155</v>
      </c>
      <c r="F134" s="48" t="n">
        <v>0.000158229166666667</v>
      </c>
      <c r="G134" s="49" t="n">
        <v>1</v>
      </c>
    </row>
    <row r="135" customFormat="false" ht="15" hidden="false" customHeight="false" outlineLevel="0" collapsed="false">
      <c r="A135" s="13" t="n">
        <v>45593.6257411458</v>
      </c>
      <c r="B135" s="13" t="n">
        <v>45593.6258857292</v>
      </c>
      <c r="C135" s="18" t="n">
        <f aca="false">(B135-A135)</f>
        <v>0.000144583333333333</v>
      </c>
      <c r="D135" s="19" t="n">
        <f aca="false">CEILING(C135,"00:00:05")</f>
        <v>0.000173611111111111</v>
      </c>
      <c r="E135" s="54" t="n">
        <v>2</v>
      </c>
      <c r="F135" s="48" t="n">
        <v>0.000158726851851852</v>
      </c>
      <c r="G135" s="49" t="n">
        <v>1</v>
      </c>
    </row>
    <row r="136" customFormat="false" ht="15" hidden="false" customHeight="false" outlineLevel="0" collapsed="false">
      <c r="A136" s="13" t="n">
        <v>45593.6261887269</v>
      </c>
      <c r="B136" s="13" t="n">
        <v>45593.6263406019</v>
      </c>
      <c r="C136" s="18" t="n">
        <f aca="false">(B136-A136)</f>
        <v>0.000151875011574074</v>
      </c>
      <c r="D136" s="19" t="n">
        <f aca="false">CEILING(C136,"00:00:05")</f>
        <v>0.000173611111111111</v>
      </c>
      <c r="E136" s="54" t="n">
        <v>3</v>
      </c>
      <c r="F136" s="48" t="n">
        <v>0.000159074074074074</v>
      </c>
      <c r="G136" s="49" t="n">
        <v>1</v>
      </c>
    </row>
    <row r="137" customFormat="false" ht="15" hidden="false" customHeight="false" outlineLevel="0" collapsed="false">
      <c r="A137" s="13" t="n">
        <v>45593.6266860185</v>
      </c>
      <c r="B137" s="13" t="n">
        <v>45593.626817581</v>
      </c>
      <c r="C137" s="18" t="n">
        <f aca="false">(B137-A137)</f>
        <v>0.0001315625</v>
      </c>
      <c r="D137" s="19" t="n">
        <f aca="false">CEILING(C137,"00:00:05")</f>
        <v>0.000173611111111111</v>
      </c>
      <c r="E137" s="54" t="n">
        <v>4</v>
      </c>
      <c r="F137" s="48" t="n">
        <v>0.000160856481481481</v>
      </c>
      <c r="G137" s="49" t="n">
        <v>1</v>
      </c>
    </row>
    <row r="138" customFormat="false" ht="15" hidden="false" customHeight="false" outlineLevel="0" collapsed="false">
      <c r="A138" s="13" t="n">
        <v>45593.6274058102</v>
      </c>
      <c r="B138" s="13" t="n">
        <v>45593.6276716782</v>
      </c>
      <c r="C138" s="18" t="n">
        <f aca="false">(B138-A138)</f>
        <v>0.000265868055555556</v>
      </c>
      <c r="D138" s="19" t="n">
        <f aca="false">CEILING(C138,"00:00:05")</f>
        <v>0.000289351851851852</v>
      </c>
      <c r="E138" s="54" t="s">
        <v>156</v>
      </c>
      <c r="F138" s="48" t="n">
        <v>0.000161087962962963</v>
      </c>
      <c r="G138" s="49" t="n">
        <v>1</v>
      </c>
    </row>
    <row r="139" customFormat="false" ht="15" hidden="false" customHeight="false" outlineLevel="0" collapsed="false">
      <c r="A139" s="13" t="n">
        <v>45593.6279158102</v>
      </c>
      <c r="B139" s="13" t="n">
        <v>45593.6281035185</v>
      </c>
      <c r="C139" s="18" t="n">
        <f aca="false">(B139-A139)</f>
        <v>0.000187708333333333</v>
      </c>
      <c r="D139" s="19" t="n">
        <f aca="false">CEILING(C139,"00:00:05")</f>
        <v>0.000231481481481482</v>
      </c>
      <c r="E139" s="54" t="n">
        <v>3</v>
      </c>
      <c r="F139" s="48" t="n">
        <v>0.000162893518518519</v>
      </c>
      <c r="G139" s="49" t="n">
        <v>1</v>
      </c>
    </row>
    <row r="140" customFormat="false" ht="15" hidden="false" customHeight="false" outlineLevel="0" collapsed="false">
      <c r="A140" s="13" t="n">
        <v>45593.6285203125</v>
      </c>
      <c r="B140" s="13" t="n">
        <v>45593.628732338</v>
      </c>
      <c r="C140" s="18" t="n">
        <f aca="false">(B140-A140)</f>
        <v>0.000212025462962963</v>
      </c>
      <c r="D140" s="19" t="n">
        <f aca="false">CEILING(C140,"00:00:05")</f>
        <v>0.000231481481481482</v>
      </c>
      <c r="E140" s="54" t="n">
        <v>3</v>
      </c>
      <c r="F140" s="48" t="n">
        <v>0.00016337962962963</v>
      </c>
      <c r="G140" s="49" t="n">
        <v>1</v>
      </c>
    </row>
    <row r="141" customFormat="false" ht="15" hidden="false" customHeight="false" outlineLevel="0" collapsed="false">
      <c r="A141" s="13" t="n">
        <v>45593.6289427315</v>
      </c>
      <c r="B141" s="13" t="n">
        <v>45593.6290948727</v>
      </c>
      <c r="C141" s="18" t="n">
        <f aca="false">(B141-A141)</f>
        <v>0.00015214119212963</v>
      </c>
      <c r="D141" s="19" t="n">
        <f aca="false">CEILING(C141,"00:00:05")</f>
        <v>0.000173611111111111</v>
      </c>
      <c r="E141" s="54" t="n">
        <v>4</v>
      </c>
      <c r="F141" s="48" t="n">
        <v>0.000163414351851852</v>
      </c>
      <c r="G141" s="49" t="n">
        <v>1</v>
      </c>
    </row>
    <row r="142" customFormat="false" ht="15" hidden="false" customHeight="false" outlineLevel="0" collapsed="false">
      <c r="A142" s="13" t="n">
        <v>45593.6306852199</v>
      </c>
      <c r="B142" s="13" t="n">
        <v>45593.6308036458</v>
      </c>
      <c r="C142" s="18" t="n">
        <f aca="false">(B142-A142)</f>
        <v>0.000118425925925926</v>
      </c>
      <c r="D142" s="19" t="n">
        <f aca="false">CEILING(C142,"00:00:05")</f>
        <v>0.000173611111111111</v>
      </c>
      <c r="E142" s="54" t="s">
        <v>157</v>
      </c>
      <c r="F142" s="48" t="n">
        <v>0.000164953703703704</v>
      </c>
      <c r="G142" s="49" t="n">
        <v>1</v>
      </c>
    </row>
    <row r="143" customFormat="false" ht="15" hidden="false" customHeight="false" outlineLevel="0" collapsed="false">
      <c r="A143" s="13" t="n">
        <v>45593.6317673958</v>
      </c>
      <c r="B143" s="13" t="n">
        <v>45593.6319517245</v>
      </c>
      <c r="C143" s="18" t="n">
        <f aca="false">(B143-A143)</f>
        <v>0.000184328703703704</v>
      </c>
      <c r="D143" s="19" t="n">
        <f aca="false">CEILING(C143,"00:00:05")</f>
        <v>0.000231481481481482</v>
      </c>
      <c r="E143" s="54" t="n">
        <v>3</v>
      </c>
      <c r="F143" s="48" t="n">
        <v>0.000165439814814815</v>
      </c>
      <c r="G143" s="49" t="n">
        <v>1</v>
      </c>
    </row>
    <row r="144" customFormat="false" ht="15" hidden="false" customHeight="false" outlineLevel="0" collapsed="false">
      <c r="A144" s="13" t="n">
        <v>45593.6322379861</v>
      </c>
      <c r="B144" s="13" t="n">
        <v>45593.6323248264</v>
      </c>
      <c r="C144" s="18" t="n">
        <f aca="false">(B144-A144)</f>
        <v>8.68402777777778E-005</v>
      </c>
      <c r="D144" s="19" t="n">
        <f aca="false">CEILING(C144,"00:00:05")</f>
        <v>0.000115740740740741</v>
      </c>
      <c r="E144" s="54" t="s">
        <v>158</v>
      </c>
      <c r="F144" s="48" t="n">
        <v>0.000166550925925926</v>
      </c>
      <c r="G144" s="49" t="n">
        <v>1</v>
      </c>
    </row>
    <row r="145" customFormat="false" ht="15" hidden="false" customHeight="false" outlineLevel="0" collapsed="false">
      <c r="A145" s="13" t="n">
        <v>45593.6327375347</v>
      </c>
      <c r="B145" s="13" t="n">
        <v>45593.6330443403</v>
      </c>
      <c r="C145" s="18" t="n">
        <f aca="false">(B145-A145)</f>
        <v>0.000306805555555556</v>
      </c>
      <c r="D145" s="19" t="n">
        <f aca="false">CEILING(C145,"00:00:05")</f>
        <v>0.000347222222222222</v>
      </c>
      <c r="E145" s="54" t="s">
        <v>159</v>
      </c>
      <c r="F145" s="48" t="n">
        <v>0.000167731481481481</v>
      </c>
      <c r="G145" s="49" t="n">
        <v>1</v>
      </c>
    </row>
    <row r="146" customFormat="false" ht="15" hidden="false" customHeight="false" outlineLevel="0" collapsed="false">
      <c r="A146" s="13" t="n">
        <v>45593.6332101505</v>
      </c>
      <c r="B146" s="13" t="n">
        <v>45593.6333564815</v>
      </c>
      <c r="C146" s="18" t="n">
        <f aca="false">(B146-A146)</f>
        <v>0.000146331030092593</v>
      </c>
      <c r="D146" s="19" t="n">
        <f aca="false">CEILING(C146,"00:00:05")</f>
        <v>0.000173611111111111</v>
      </c>
      <c r="E146" s="54" t="n">
        <v>4</v>
      </c>
      <c r="F146" s="48" t="n">
        <v>0.00016787037037037</v>
      </c>
      <c r="G146" s="49" t="n">
        <v>1</v>
      </c>
    </row>
    <row r="147" customFormat="false" ht="15" hidden="false" customHeight="false" outlineLevel="0" collapsed="false">
      <c r="A147" s="13" t="n">
        <v>45593.6334830208</v>
      </c>
      <c r="B147" s="13" t="n">
        <v>45593.6336688426</v>
      </c>
      <c r="C147" s="18" t="n">
        <f aca="false">(B147-A147)</f>
        <v>0.000185821759259259</v>
      </c>
      <c r="D147" s="19" t="n">
        <f aca="false">CEILING(C147,"00:00:05")</f>
        <v>0.000231481481481482</v>
      </c>
      <c r="E147" s="54" t="n">
        <v>4</v>
      </c>
      <c r="F147" s="48" t="n">
        <v>0.000169305555555556</v>
      </c>
      <c r="G147" s="49" t="n">
        <v>1</v>
      </c>
    </row>
    <row r="148" customFormat="false" ht="15" hidden="false" customHeight="false" outlineLevel="0" collapsed="false">
      <c r="A148" s="13" t="n">
        <v>45582.663481713</v>
      </c>
      <c r="B148" s="13" t="n">
        <v>45582.6635817361</v>
      </c>
      <c r="C148" s="18" t="n">
        <f aca="false">(B148-A148)</f>
        <v>0.000100023148148148</v>
      </c>
      <c r="D148" s="19" t="n">
        <f aca="false">CEILING(C148,"00:00:05")</f>
        <v>0.000115740740740741</v>
      </c>
      <c r="E148" s="54" t="s">
        <v>160</v>
      </c>
      <c r="F148" s="48" t="n">
        <v>0.000170648148148148</v>
      </c>
      <c r="G148" s="49" t="n">
        <v>1</v>
      </c>
    </row>
    <row r="149" customFormat="false" ht="15" hidden="false" customHeight="false" outlineLevel="0" collapsed="false">
      <c r="A149" s="13" t="n">
        <v>45582.6638755787</v>
      </c>
      <c r="B149" s="13" t="n">
        <v>45582.6640530787</v>
      </c>
      <c r="C149" s="18" t="n">
        <f aca="false">(B149-A149)</f>
        <v>0.0001775</v>
      </c>
      <c r="D149" s="19" t="n">
        <f aca="false">CEILING(C149,"00:00:05")</f>
        <v>0.000231481481481482</v>
      </c>
      <c r="E149" s="54" t="s">
        <v>161</v>
      </c>
      <c r="F149" s="48" t="n">
        <v>0.000173043981481481</v>
      </c>
      <c r="G149" s="49" t="n">
        <v>1</v>
      </c>
    </row>
    <row r="150" customFormat="false" ht="15" hidden="false" customHeight="false" outlineLevel="0" collapsed="false">
      <c r="A150" s="13" t="n">
        <v>45582.6642711921</v>
      </c>
      <c r="B150" s="13" t="n">
        <v>45582.6644707986</v>
      </c>
      <c r="C150" s="18" t="n">
        <f aca="false">(B150-A150)</f>
        <v>0.000199606481481481</v>
      </c>
      <c r="D150" s="19" t="n">
        <f aca="false">CEILING(C150,"00:00:05")</f>
        <v>0.000231481481481482</v>
      </c>
      <c r="E150" s="54" t="n">
        <v>2</v>
      </c>
      <c r="F150" s="48" t="n">
        <v>0.000173634259259259</v>
      </c>
      <c r="G150" s="49" t="n">
        <v>1</v>
      </c>
    </row>
    <row r="151" customFormat="false" ht="15" hidden="false" customHeight="false" outlineLevel="0" collapsed="false">
      <c r="A151" s="13" t="n">
        <v>45582.664575162</v>
      </c>
      <c r="B151" s="13" t="n">
        <v>45582.6646996644</v>
      </c>
      <c r="C151" s="18" t="n">
        <f aca="false">(B151-A151)</f>
        <v>0.000124502314814815</v>
      </c>
      <c r="D151" s="19" t="n">
        <f aca="false">CEILING(C151,"00:00:05")</f>
        <v>0.000173611111111111</v>
      </c>
      <c r="E151" s="54" t="n">
        <v>4</v>
      </c>
      <c r="F151" s="48" t="n">
        <v>0.00017380787037037</v>
      </c>
      <c r="G151" s="49" t="n">
        <v>1</v>
      </c>
    </row>
    <row r="152" customFormat="false" ht="26.1" hidden="false" customHeight="false" outlineLevel="0" collapsed="false">
      <c r="A152" s="13" t="n">
        <v>45582.6653518519</v>
      </c>
      <c r="B152" s="13" t="n">
        <v>45582.6655248958</v>
      </c>
      <c r="C152" s="18" t="n">
        <f aca="false">(B152-A152)</f>
        <v>0.000173043981481481</v>
      </c>
      <c r="D152" s="19" t="n">
        <f aca="false">CEILING(C152,"00:00:05")</f>
        <v>0.000173611111111111</v>
      </c>
      <c r="E152" s="54" t="s">
        <v>162</v>
      </c>
      <c r="F152" s="48" t="n">
        <v>0.000174363425925926</v>
      </c>
      <c r="G152" s="49" t="n">
        <v>1</v>
      </c>
    </row>
    <row r="153" customFormat="false" ht="15" hidden="false" customHeight="false" outlineLevel="0" collapsed="false">
      <c r="A153" s="13" t="n">
        <v>45582.6657922106</v>
      </c>
      <c r="B153" s="13" t="n">
        <v>45582.6659491204</v>
      </c>
      <c r="C153" s="18" t="n">
        <f aca="false">(B153-A153)</f>
        <v>0.000156909722222222</v>
      </c>
      <c r="D153" s="19" t="n">
        <f aca="false">CEILING(C153,"00:00:05")</f>
        <v>0.000173611111111111</v>
      </c>
      <c r="E153" s="54" t="n">
        <v>4</v>
      </c>
      <c r="F153" s="48" t="n">
        <v>0.000175277777777778</v>
      </c>
      <c r="G153" s="49" t="n">
        <v>1</v>
      </c>
    </row>
    <row r="154" customFormat="false" ht="15" hidden="false" customHeight="false" outlineLevel="0" collapsed="false">
      <c r="A154" s="13" t="n">
        <v>45582.6662741088</v>
      </c>
      <c r="B154" s="13" t="n">
        <v>45582.6664447569</v>
      </c>
      <c r="C154" s="18" t="n">
        <f aca="false">(B154-A154)</f>
        <v>0.000170648148148148</v>
      </c>
      <c r="D154" s="19" t="n">
        <f aca="false">CEILING(C154,"00:00:05")</f>
        <v>0.000173611111111111</v>
      </c>
      <c r="E154" s="54" t="s">
        <v>163</v>
      </c>
      <c r="F154" s="48" t="n">
        <v>0.000176030092592593</v>
      </c>
      <c r="G154" s="49" t="n">
        <v>1</v>
      </c>
    </row>
    <row r="155" customFormat="false" ht="15" hidden="false" customHeight="false" outlineLevel="0" collapsed="false">
      <c r="A155" s="13" t="n">
        <v>45582.666542581</v>
      </c>
      <c r="B155" s="13" t="n">
        <v>45582.6666947107</v>
      </c>
      <c r="C155" s="18" t="n">
        <f aca="false">(B155-A155)</f>
        <v>0.00015212962962963</v>
      </c>
      <c r="D155" s="19" t="n">
        <f aca="false">CEILING(C155,"00:00:05")</f>
        <v>0.000173611111111111</v>
      </c>
      <c r="E155" s="54" t="s">
        <v>98</v>
      </c>
      <c r="F155" s="48" t="n">
        <v>0.00017619212962963</v>
      </c>
      <c r="G155" s="49" t="n">
        <v>1</v>
      </c>
    </row>
    <row r="156" customFormat="false" ht="15" hidden="false" customHeight="false" outlineLevel="0" collapsed="false">
      <c r="A156" s="13" t="n">
        <v>45582.6670514005</v>
      </c>
      <c r="B156" s="13" t="n">
        <v>45582.6672437037</v>
      </c>
      <c r="C156" s="18" t="n">
        <f aca="false">(B156-A156)</f>
        <v>0.000192303240740741</v>
      </c>
      <c r="D156" s="19" t="n">
        <f aca="false">CEILING(C156,"00:00:05")</f>
        <v>0.000231481481481482</v>
      </c>
      <c r="E156" s="54" t="s">
        <v>164</v>
      </c>
      <c r="F156" s="48" t="n">
        <v>0.000176712962962963</v>
      </c>
      <c r="G156" s="49" t="n">
        <v>1</v>
      </c>
    </row>
    <row r="157" customFormat="false" ht="15" hidden="false" customHeight="false" outlineLevel="0" collapsed="false">
      <c r="A157" s="13" t="n">
        <v>45582.6673923958</v>
      </c>
      <c r="B157" s="13" t="n">
        <v>45582.6675691088</v>
      </c>
      <c r="C157" s="18" t="n">
        <f aca="false">(B157-A157)</f>
        <v>0.000176712962962963</v>
      </c>
      <c r="D157" s="19" t="n">
        <f aca="false">CEILING(C157,"00:00:05")</f>
        <v>0.000231481481481482</v>
      </c>
      <c r="E157" s="54" t="n">
        <v>4</v>
      </c>
      <c r="F157" s="48" t="n">
        <v>0.000177083333333333</v>
      </c>
      <c r="G157" s="49" t="n">
        <v>1</v>
      </c>
    </row>
    <row r="158" customFormat="false" ht="15" hidden="false" customHeight="false" outlineLevel="0" collapsed="false">
      <c r="A158" s="13" t="n">
        <v>45582.6678939236</v>
      </c>
      <c r="B158" s="13" t="n">
        <v>45582.6680800694</v>
      </c>
      <c r="C158" s="18" t="n">
        <f aca="false">(B158-A158)</f>
        <v>0.000186145833333333</v>
      </c>
      <c r="D158" s="19" t="n">
        <f aca="false">CEILING(C158,"00:00:05")</f>
        <v>0.000231481481481482</v>
      </c>
      <c r="E158" s="54" t="s">
        <v>165</v>
      </c>
      <c r="F158" s="48" t="n">
        <v>0.000177314814814815</v>
      </c>
      <c r="G158" s="49" t="n">
        <v>1</v>
      </c>
    </row>
    <row r="159" customFormat="false" ht="15" hidden="false" customHeight="false" outlineLevel="0" collapsed="false">
      <c r="A159" s="13" t="n">
        <v>45582.6684313889</v>
      </c>
      <c r="B159" s="13" t="n">
        <v>45582.6686165509</v>
      </c>
      <c r="C159" s="18" t="n">
        <f aca="false">(B159-A159)</f>
        <v>0.000185162037037037</v>
      </c>
      <c r="D159" s="19" t="n">
        <f aca="false">CEILING(C159,"00:00:05")</f>
        <v>0.000231481481481482</v>
      </c>
      <c r="E159" s="54" t="n">
        <v>4</v>
      </c>
      <c r="F159" s="48" t="n">
        <v>0.0001775</v>
      </c>
      <c r="G159" s="49" t="n">
        <v>1</v>
      </c>
    </row>
    <row r="160" customFormat="false" ht="15" hidden="false" customHeight="false" outlineLevel="0" collapsed="false">
      <c r="A160" s="13" t="n">
        <v>45582.6692024653</v>
      </c>
      <c r="B160" s="13" t="n">
        <v>45582.6693653588</v>
      </c>
      <c r="C160" s="18" t="n">
        <f aca="false">(B160-A160)</f>
        <v>0.000162893518518519</v>
      </c>
      <c r="D160" s="19" t="n">
        <f aca="false">CEILING(C160,"00:00:05")</f>
        <v>0.000173611111111111</v>
      </c>
      <c r="E160" s="54" t="s">
        <v>166</v>
      </c>
      <c r="F160" s="48" t="n">
        <v>0.000177685185185185</v>
      </c>
      <c r="G160" s="49" t="n">
        <v>1</v>
      </c>
    </row>
    <row r="161" customFormat="false" ht="15" hidden="false" customHeight="false" outlineLevel="0" collapsed="false">
      <c r="A161" s="13" t="n">
        <v>45582.6714564236</v>
      </c>
      <c r="B161" s="13" t="n">
        <v>45582.6716766204</v>
      </c>
      <c r="C161" s="18" t="n">
        <f aca="false">(B161-A161)</f>
        <v>0.000220196759259259</v>
      </c>
      <c r="D161" s="19" t="n">
        <f aca="false">CEILING(C161,"00:00:05")</f>
        <v>0.000231481481481482</v>
      </c>
      <c r="E161" s="54" t="s">
        <v>167</v>
      </c>
      <c r="F161" s="48" t="n">
        <v>0.000178657407407407</v>
      </c>
      <c r="G161" s="49" t="n">
        <v>1</v>
      </c>
    </row>
    <row r="162" customFormat="false" ht="15" hidden="false" customHeight="false" outlineLevel="0" collapsed="false">
      <c r="A162" s="13" t="n">
        <v>45582.6719869444</v>
      </c>
      <c r="B162" s="13" t="n">
        <v>45582.6721322222</v>
      </c>
      <c r="C162" s="18" t="n">
        <f aca="false">(B162-A162)</f>
        <v>0.000145277777777778</v>
      </c>
      <c r="D162" s="19" t="n">
        <f aca="false">CEILING(C162,"00:00:05")</f>
        <v>0.000173611111111111</v>
      </c>
      <c r="E162" s="54" t="s">
        <v>168</v>
      </c>
      <c r="F162" s="48" t="n">
        <v>0.000178726851851852</v>
      </c>
      <c r="G162" s="49" t="n">
        <v>1</v>
      </c>
    </row>
    <row r="163" customFormat="false" ht="15" hidden="false" customHeight="false" outlineLevel="0" collapsed="false">
      <c r="A163" s="13" t="n">
        <v>45582.6723903125</v>
      </c>
      <c r="B163" s="13" t="n">
        <v>45582.6727556597</v>
      </c>
      <c r="C163" s="18" t="n">
        <f aca="false">(B163-A163)</f>
        <v>0.000365347222222222</v>
      </c>
      <c r="D163" s="19" t="n">
        <f aca="false">CEILING(C163,"00:00:05")</f>
        <v>0.000405092592592593</v>
      </c>
      <c r="E163" s="54" t="s">
        <v>169</v>
      </c>
      <c r="F163" s="48" t="n">
        <v>0.000179965277777778</v>
      </c>
      <c r="G163" s="49" t="n">
        <v>1</v>
      </c>
    </row>
    <row r="164" customFormat="false" ht="15" hidden="false" customHeight="false" outlineLevel="0" collapsed="false">
      <c r="A164" s="13" t="n">
        <v>45582.6728556134</v>
      </c>
      <c r="B164" s="13" t="n">
        <v>45582.6730464352</v>
      </c>
      <c r="C164" s="18" t="n">
        <f aca="false">(B164-A164)</f>
        <v>0.000190821759259259</v>
      </c>
      <c r="D164" s="19" t="n">
        <f aca="false">CEILING(C164,"00:00:05")</f>
        <v>0.000231481481481482</v>
      </c>
      <c r="E164" s="54" t="n">
        <v>4</v>
      </c>
      <c r="F164" s="48" t="n">
        <v>0.000180393518518519</v>
      </c>
      <c r="G164" s="49" t="n">
        <v>1</v>
      </c>
    </row>
    <row r="165" customFormat="false" ht="15" hidden="false" customHeight="false" outlineLevel="0" collapsed="false">
      <c r="A165" s="13" t="n">
        <v>45582.6732659491</v>
      </c>
      <c r="B165" s="13" t="n">
        <v>45582.6735153935</v>
      </c>
      <c r="C165" s="18" t="n">
        <f aca="false">(B165-A165)</f>
        <v>0.000249444444444444</v>
      </c>
      <c r="D165" s="19" t="n">
        <f aca="false">CEILING(C165,"00:00:05")</f>
        <v>0.000289351851851852</v>
      </c>
      <c r="E165" s="54" t="s">
        <v>170</v>
      </c>
      <c r="F165" s="48" t="n">
        <v>0.000180868055555556</v>
      </c>
      <c r="G165" s="49" t="n">
        <v>1</v>
      </c>
    </row>
    <row r="166" customFormat="false" ht="15" hidden="false" customHeight="false" outlineLevel="0" collapsed="false">
      <c r="A166" s="13" t="n">
        <v>45583.360467662</v>
      </c>
      <c r="B166" s="13" t="n">
        <v>45583.3605794329</v>
      </c>
      <c r="C166" s="18" t="n">
        <f aca="false">(B166-A166)</f>
        <v>0.000111770833333333</v>
      </c>
      <c r="D166" s="19" t="n">
        <f aca="false">CEILING(C166,"00:00:05")</f>
        <v>0.000115740740740741</v>
      </c>
      <c r="E166" s="54" t="s">
        <v>171</v>
      </c>
      <c r="F166" s="48" t="n">
        <v>0.000180972222222222</v>
      </c>
      <c r="G166" s="49" t="n">
        <v>1</v>
      </c>
    </row>
    <row r="167" customFormat="false" ht="15" hidden="false" customHeight="false" outlineLevel="0" collapsed="false">
      <c r="A167" s="13" t="n">
        <v>45583.3617797107</v>
      </c>
      <c r="B167" s="13" t="n">
        <v>45583.361900706</v>
      </c>
      <c r="C167" s="18" t="n">
        <f aca="false">(B167-A167)</f>
        <v>0.00012099537037037</v>
      </c>
      <c r="D167" s="19" t="n">
        <f aca="false">CEILING(C167,"00:00:05")</f>
        <v>0.000173611111111111</v>
      </c>
      <c r="E167" s="54" t="s">
        <v>172</v>
      </c>
      <c r="F167" s="48" t="n">
        <v>0.000181018518518519</v>
      </c>
      <c r="G167" s="49" t="n">
        <v>1</v>
      </c>
    </row>
    <row r="168" customFormat="false" ht="38.6" hidden="false" customHeight="false" outlineLevel="0" collapsed="false">
      <c r="A168" s="13" t="n">
        <v>45583.3630142708</v>
      </c>
      <c r="B168" s="13" t="n">
        <v>45583.3634106597</v>
      </c>
      <c r="C168" s="18" t="n">
        <f aca="false">(B168-A168)</f>
        <v>0.000396388888888889</v>
      </c>
      <c r="D168" s="19" t="n">
        <f aca="false">CEILING(C168,"00:00:05")</f>
        <v>0.000405092592592593</v>
      </c>
      <c r="E168" s="54" t="s">
        <v>173</v>
      </c>
      <c r="F168" s="48" t="n">
        <v>0.000182094907407407</v>
      </c>
      <c r="G168" s="49" t="n">
        <v>1</v>
      </c>
    </row>
    <row r="169" customFormat="false" ht="15" hidden="false" customHeight="false" outlineLevel="0" collapsed="false">
      <c r="A169" s="13" t="n">
        <v>45583.3646160417</v>
      </c>
      <c r="B169" s="13" t="n">
        <v>45583.3652056134</v>
      </c>
      <c r="C169" s="18" t="n">
        <f aca="false">(B169-A169)</f>
        <v>0.000589571759259259</v>
      </c>
      <c r="D169" s="19" t="n">
        <f aca="false">CEILING(C169,"00:00:05")</f>
        <v>0.000636574074074074</v>
      </c>
      <c r="E169" s="54" t="n">
        <v>2</v>
      </c>
      <c r="F169" s="48" t="n">
        <v>0.000184328703703704</v>
      </c>
      <c r="G169" s="49" t="n">
        <v>1</v>
      </c>
    </row>
    <row r="170" customFormat="false" ht="15" hidden="false" customHeight="false" outlineLevel="0" collapsed="false">
      <c r="A170" s="13" t="n">
        <v>45583.3670560648</v>
      </c>
      <c r="B170" s="13" t="n">
        <v>45583.3672003357</v>
      </c>
      <c r="C170" s="18" t="n">
        <f aca="false">(B170-A170)</f>
        <v>0.000144270833333333</v>
      </c>
      <c r="D170" s="19" t="n">
        <f aca="false">CEILING(C170,"00:00:05")</f>
        <v>0.000173611111111111</v>
      </c>
      <c r="E170" s="54" t="s">
        <v>174</v>
      </c>
      <c r="F170" s="48" t="n">
        <v>0.000185162037037037</v>
      </c>
      <c r="G170" s="49" t="n">
        <v>1</v>
      </c>
    </row>
    <row r="171" customFormat="false" ht="15" hidden="false" customHeight="false" outlineLevel="0" collapsed="false">
      <c r="A171" s="13" t="n">
        <v>45583.3679506366</v>
      </c>
      <c r="B171" s="13" t="n">
        <v>45583.3681700463</v>
      </c>
      <c r="C171" s="18" t="n">
        <f aca="false">(B171-A171)</f>
        <v>0.000219409722222222</v>
      </c>
      <c r="D171" s="19" t="n">
        <f aca="false">CEILING(C171,"00:00:05")</f>
        <v>0.000231481481481482</v>
      </c>
      <c r="E171" s="54" t="n">
        <v>3</v>
      </c>
      <c r="F171" s="48" t="n">
        <v>0.000185821759259259</v>
      </c>
      <c r="G171" s="49" t="n">
        <v>1</v>
      </c>
    </row>
    <row r="172" customFormat="false" ht="15" hidden="false" customHeight="false" outlineLevel="0" collapsed="false">
      <c r="A172" s="13" t="n">
        <v>45583.3684457986</v>
      </c>
      <c r="B172" s="13" t="n">
        <v>45583.3688055093</v>
      </c>
      <c r="C172" s="18" t="n">
        <f aca="false">(B172-A172)</f>
        <v>0.000359710648148148</v>
      </c>
      <c r="D172" s="19" t="n">
        <f aca="false">CEILING(C172,"00:00:05")</f>
        <v>0.000405092592592593</v>
      </c>
      <c r="E172" s="54" t="n">
        <v>2</v>
      </c>
      <c r="F172" s="48" t="n">
        <v>0.000185983796296296</v>
      </c>
      <c r="G172" s="49" t="n">
        <v>1</v>
      </c>
    </row>
    <row r="173" customFormat="false" ht="15" hidden="false" customHeight="false" outlineLevel="0" collapsed="false">
      <c r="A173" s="13" t="n">
        <v>45583.3690623727</v>
      </c>
      <c r="B173" s="13" t="n">
        <v>45583.36958125</v>
      </c>
      <c r="C173" s="18" t="n">
        <f aca="false">(B173-A173)</f>
        <v>0.000518877314814815</v>
      </c>
      <c r="D173" s="19" t="n">
        <f aca="false">CEILING(C173,"00:00:05")</f>
        <v>0.000520833333333333</v>
      </c>
      <c r="E173" s="54" t="n">
        <v>3</v>
      </c>
      <c r="F173" s="48" t="n">
        <v>0.000186145833333333</v>
      </c>
      <c r="G173" s="49" t="n">
        <v>1</v>
      </c>
    </row>
    <row r="174" customFormat="false" ht="15" hidden="false" customHeight="false" outlineLevel="0" collapsed="false">
      <c r="A174" s="13" t="n">
        <v>45583.3700868866</v>
      </c>
      <c r="B174" s="13" t="n">
        <v>45583.3703078704</v>
      </c>
      <c r="C174" s="18" t="n">
        <f aca="false">(B174-A174)</f>
        <v>0.000220983796296296</v>
      </c>
      <c r="D174" s="19" t="n">
        <f aca="false">CEILING(C174,"00:00:05")</f>
        <v>0.000231481481481482</v>
      </c>
      <c r="E174" s="54" t="n">
        <v>3</v>
      </c>
      <c r="F174" s="48" t="n">
        <v>0.000186712962962963</v>
      </c>
      <c r="G174" s="49" t="n">
        <v>1</v>
      </c>
    </row>
    <row r="175" customFormat="false" ht="15" hidden="false" customHeight="false" outlineLevel="0" collapsed="false">
      <c r="A175" s="13" t="n">
        <v>45583.3705003472</v>
      </c>
      <c r="B175" s="13" t="n">
        <v>45583.370893044</v>
      </c>
      <c r="C175" s="18" t="n">
        <f aca="false">(B175-A175)</f>
        <v>0.000392696759259259</v>
      </c>
      <c r="D175" s="19" t="n">
        <f aca="false">CEILING(C175,"00:00:05")</f>
        <v>0.000405092592592593</v>
      </c>
      <c r="E175" s="54" t="n">
        <v>4</v>
      </c>
      <c r="F175" s="48" t="n">
        <v>0.000187708333333333</v>
      </c>
      <c r="G175" s="49" t="n">
        <v>1</v>
      </c>
    </row>
    <row r="176" customFormat="false" ht="15" hidden="false" customHeight="false" outlineLevel="0" collapsed="false">
      <c r="A176" s="13" t="n">
        <v>45583.3721922222</v>
      </c>
      <c r="B176" s="13" t="n">
        <v>45583.3724419097</v>
      </c>
      <c r="C176" s="18" t="n">
        <f aca="false">(B176-A176)</f>
        <v>0.0002496875</v>
      </c>
      <c r="D176" s="19" t="n">
        <f aca="false">CEILING(C176,"00:00:05")</f>
        <v>0.000289351851851852</v>
      </c>
      <c r="E176" s="54" t="s">
        <v>175</v>
      </c>
      <c r="F176" s="48" t="n">
        <v>0.000187731481481481</v>
      </c>
      <c r="G176" s="49" t="n">
        <v>1</v>
      </c>
    </row>
    <row r="177" customFormat="false" ht="15" hidden="false" customHeight="false" outlineLevel="0" collapsed="false">
      <c r="A177" s="13" t="n">
        <v>45583.3734661111</v>
      </c>
      <c r="B177" s="13" t="n">
        <v>45583.3736520949</v>
      </c>
      <c r="C177" s="18" t="n">
        <f aca="false">(B177-A177)</f>
        <v>0.000185983796296296</v>
      </c>
      <c r="D177" s="19" t="n">
        <f aca="false">CEILING(C177,"00:00:05")</f>
        <v>0.000231481481481482</v>
      </c>
      <c r="E177" s="54" t="s">
        <v>176</v>
      </c>
      <c r="F177" s="48" t="n">
        <v>0.00018880787037037</v>
      </c>
      <c r="G177" s="49" t="n">
        <v>1</v>
      </c>
    </row>
    <row r="178" customFormat="false" ht="15" hidden="false" customHeight="false" outlineLevel="0" collapsed="false">
      <c r="A178" s="13" t="n">
        <v>45583.3746425347</v>
      </c>
      <c r="B178" s="13" t="n">
        <v>45583.3747857523</v>
      </c>
      <c r="C178" s="18" t="n">
        <f aca="false">(B178-A178)</f>
        <v>0.000143217592592593</v>
      </c>
      <c r="D178" s="19" t="n">
        <f aca="false">CEILING(C178,"00:00:05")</f>
        <v>0.000173611111111111</v>
      </c>
      <c r="E178" s="54" t="s">
        <v>177</v>
      </c>
      <c r="F178" s="48" t="n">
        <v>0.000190231481481482</v>
      </c>
      <c r="G178" s="49" t="n">
        <v>1</v>
      </c>
    </row>
    <row r="179" customFormat="false" ht="26.1" hidden="false" customHeight="false" outlineLevel="0" collapsed="false">
      <c r="A179" s="13" t="n">
        <v>45583.3875267014</v>
      </c>
      <c r="B179" s="13" t="n">
        <v>45583.3877043866</v>
      </c>
      <c r="C179" s="18" t="n">
        <f aca="false">(B179-A179)</f>
        <v>0.000177685185185185</v>
      </c>
      <c r="D179" s="19" t="n">
        <f aca="false">CEILING(C179,"00:00:05")</f>
        <v>0.000231481481481482</v>
      </c>
      <c r="E179" s="54" t="s">
        <v>178</v>
      </c>
      <c r="F179" s="48" t="n">
        <v>0.000190821759259259</v>
      </c>
      <c r="G179" s="49" t="n">
        <v>1</v>
      </c>
    </row>
    <row r="180" customFormat="false" ht="15" hidden="false" customHeight="false" outlineLevel="0" collapsed="false">
      <c r="A180" s="13" t="n">
        <v>45583.3881746991</v>
      </c>
      <c r="B180" s="13" t="n">
        <v>45583.3884868171</v>
      </c>
      <c r="C180" s="18" t="n">
        <f aca="false">(B180-A180)</f>
        <v>0.000312118055555556</v>
      </c>
      <c r="D180" s="19" t="n">
        <f aca="false">CEILING(C180,"00:00:05")</f>
        <v>0.000347222222222222</v>
      </c>
      <c r="E180" s="54" t="s">
        <v>179</v>
      </c>
      <c r="F180" s="48" t="n">
        <v>0.000191342592592593</v>
      </c>
      <c r="G180" s="49" t="n">
        <v>1</v>
      </c>
    </row>
    <row r="181" customFormat="false" ht="15" hidden="false" customHeight="false" outlineLevel="0" collapsed="false">
      <c r="A181" s="13" t="n">
        <v>45583.390199537</v>
      </c>
      <c r="B181" s="13" t="n">
        <v>45583.3903795023</v>
      </c>
      <c r="C181" s="18" t="n">
        <f aca="false">(B181-A181)</f>
        <v>0.000179965277777778</v>
      </c>
      <c r="D181" s="19" t="n">
        <f aca="false">CEILING(C181,"00:00:05")</f>
        <v>0.000231481481481482</v>
      </c>
      <c r="E181" s="54" t="n">
        <v>1</v>
      </c>
      <c r="F181" s="48" t="n">
        <v>0.000192303240740741</v>
      </c>
      <c r="G181" s="49" t="n">
        <v>1</v>
      </c>
    </row>
    <row r="182" customFormat="false" ht="15" hidden="false" customHeight="false" outlineLevel="0" collapsed="false">
      <c r="A182" s="13" t="n">
        <v>45583.3906666319</v>
      </c>
      <c r="B182" s="13" t="n">
        <v>45583.3911882292</v>
      </c>
      <c r="C182" s="18" t="n">
        <f aca="false">(B182-A182)</f>
        <v>0.000521597222222222</v>
      </c>
      <c r="D182" s="19" t="n">
        <f aca="false">CEILING(C182,"00:00:05")</f>
        <v>0.000578703703703704</v>
      </c>
      <c r="E182" s="54" t="n">
        <v>2</v>
      </c>
      <c r="F182" s="48" t="n">
        <v>0.000193356481481481</v>
      </c>
      <c r="G182" s="49" t="n">
        <v>1</v>
      </c>
    </row>
    <row r="183" customFormat="false" ht="15" hidden="false" customHeight="false" outlineLevel="0" collapsed="false">
      <c r="A183" s="13" t="n">
        <v>45583.3920398264</v>
      </c>
      <c r="B183" s="13" t="n">
        <v>45583.3922286343</v>
      </c>
      <c r="C183" s="18" t="n">
        <f aca="false">(B183-A183)</f>
        <v>0.00018880787037037</v>
      </c>
      <c r="D183" s="19" t="n">
        <f aca="false">CEILING(C183,"00:00:05")</f>
        <v>0.000231481481481482</v>
      </c>
      <c r="E183" s="54" t="s">
        <v>180</v>
      </c>
      <c r="F183" s="48" t="n">
        <v>0.000194236111111111</v>
      </c>
      <c r="G183" s="49" t="n">
        <v>1</v>
      </c>
    </row>
    <row r="184" customFormat="false" ht="15" hidden="false" customHeight="false" outlineLevel="0" collapsed="false">
      <c r="A184" s="13" t="n">
        <v>45583.393406088</v>
      </c>
      <c r="B184" s="13" t="n">
        <v>45583.39375</v>
      </c>
      <c r="C184" s="18" t="n">
        <f aca="false">(B184-A184)</f>
        <v>0.000343912037037037</v>
      </c>
      <c r="D184" s="19" t="n">
        <f aca="false">CEILING(C184,"00:00:05")</f>
        <v>0.000347222222222222</v>
      </c>
      <c r="E184" s="54" t="s">
        <v>181</v>
      </c>
      <c r="F184" s="48" t="n">
        <v>0.000195092592592593</v>
      </c>
      <c r="G184" s="49" t="n">
        <v>1</v>
      </c>
    </row>
    <row r="185" customFormat="false" ht="15" hidden="false" customHeight="false" outlineLevel="0" collapsed="false">
      <c r="A185" s="13" t="n">
        <v>45583.3944011921</v>
      </c>
      <c r="B185" s="13" t="n">
        <v>45583.3945985185</v>
      </c>
      <c r="C185" s="18" t="n">
        <f aca="false">(B185-A185)</f>
        <v>0.000197326388888889</v>
      </c>
      <c r="D185" s="19" t="n">
        <f aca="false">CEILING(C185,"00:00:05")</f>
        <v>0.000231481481481482</v>
      </c>
      <c r="E185" s="54" t="n">
        <v>1</v>
      </c>
      <c r="F185" s="48" t="n">
        <v>0.000195509259259259</v>
      </c>
      <c r="G185" s="49" t="n">
        <v>1</v>
      </c>
    </row>
    <row r="186" customFormat="false" ht="15" hidden="false" customHeight="false" outlineLevel="0" collapsed="false">
      <c r="A186" s="13" t="n">
        <v>45583.3949161574</v>
      </c>
      <c r="B186" s="13" t="n">
        <v>45583.3951577778</v>
      </c>
      <c r="C186" s="18" t="n">
        <f aca="false">(B186-A186)</f>
        <v>0.00024162037037037</v>
      </c>
      <c r="D186" s="19" t="n">
        <f aca="false">CEILING(C186,"00:00:05")</f>
        <v>0.000289351851851852</v>
      </c>
      <c r="E186" s="54" t="s">
        <v>182</v>
      </c>
      <c r="F186" s="48" t="n">
        <v>0.000195671296296296</v>
      </c>
      <c r="G186" s="49" t="n">
        <v>1</v>
      </c>
    </row>
    <row r="187" customFormat="false" ht="26.1" hidden="false" customHeight="false" outlineLevel="0" collapsed="false">
      <c r="A187" s="13" t="n">
        <v>45583.3959627894</v>
      </c>
      <c r="B187" s="13" t="n">
        <v>45583.3964486343</v>
      </c>
      <c r="C187" s="18" t="n">
        <f aca="false">(B187-A187)</f>
        <v>0.000485844907407407</v>
      </c>
      <c r="D187" s="19" t="n">
        <f aca="false">CEILING(C187,"00:00:05")</f>
        <v>0.000520833333333333</v>
      </c>
      <c r="E187" s="54" t="s">
        <v>183</v>
      </c>
      <c r="F187" s="48" t="n">
        <v>0.000196527777777778</v>
      </c>
      <c r="G187" s="49" t="n">
        <v>1</v>
      </c>
    </row>
    <row r="188" customFormat="false" ht="15" hidden="false" customHeight="false" outlineLevel="0" collapsed="false">
      <c r="A188" s="13" t="n">
        <v>45583.3975530324</v>
      </c>
      <c r="B188" s="13" t="n">
        <v>45583.3985663426</v>
      </c>
      <c r="C188" s="18" t="n">
        <f aca="false">(B188-A188)</f>
        <v>0.00101331018518519</v>
      </c>
      <c r="D188" s="19" t="n">
        <f aca="false">CEILING(C188,"00:00:05")</f>
        <v>0.00104166666666667</v>
      </c>
      <c r="E188" s="54" t="s">
        <v>184</v>
      </c>
      <c r="F188" s="48" t="n">
        <v>0.000196608796296296</v>
      </c>
      <c r="G188" s="49" t="n">
        <v>1</v>
      </c>
    </row>
    <row r="189" customFormat="false" ht="15" hidden="false" customHeight="false" outlineLevel="0" collapsed="false">
      <c r="A189" s="13" t="n">
        <v>45583.3999925</v>
      </c>
      <c r="B189" s="13" t="n">
        <v>45583.4001488542</v>
      </c>
      <c r="C189" s="18" t="n">
        <f aca="false">(B189-A189)</f>
        <v>0.000156354166666667</v>
      </c>
      <c r="D189" s="19" t="n">
        <f aca="false">CEILING(C189,"00:00:05")</f>
        <v>0.000173611111111111</v>
      </c>
      <c r="E189" s="54" t="s">
        <v>185</v>
      </c>
      <c r="F189" s="48" t="n">
        <v>0.000197326388888889</v>
      </c>
      <c r="G189" s="49" t="n">
        <v>1</v>
      </c>
    </row>
    <row r="190" customFormat="false" ht="63.6" hidden="false" customHeight="false" outlineLevel="0" collapsed="false">
      <c r="A190" s="13" t="n">
        <v>45583.4017109838</v>
      </c>
      <c r="B190" s="13" t="n">
        <v>45583.4019064931</v>
      </c>
      <c r="C190" s="18" t="n">
        <f aca="false">(B190-A190)</f>
        <v>0.000195509259259259</v>
      </c>
      <c r="D190" s="19" t="n">
        <f aca="false">CEILING(C190,"00:00:05")</f>
        <v>0.000231481481481482</v>
      </c>
      <c r="E190" s="54" t="s">
        <v>186</v>
      </c>
      <c r="F190" s="48" t="n">
        <v>0.000199571759259259</v>
      </c>
      <c r="G190" s="49" t="n">
        <v>1</v>
      </c>
    </row>
    <row r="191" customFormat="false" ht="38.6" hidden="false" customHeight="false" outlineLevel="0" collapsed="false">
      <c r="A191" s="13" t="n">
        <v>45583.4034199653</v>
      </c>
      <c r="B191" s="13" t="n">
        <v>45583.4035943287</v>
      </c>
      <c r="C191" s="18" t="n">
        <f aca="false">(B191-A191)</f>
        <v>0.000174363425925926</v>
      </c>
      <c r="D191" s="19" t="n">
        <f aca="false">CEILING(C191,"00:00:05")</f>
        <v>0.000231481481481482</v>
      </c>
      <c r="E191" s="54" t="s">
        <v>187</v>
      </c>
      <c r="F191" s="48" t="n">
        <v>0.000199606481481481</v>
      </c>
      <c r="G191" s="49" t="n">
        <v>1</v>
      </c>
    </row>
    <row r="192" customFormat="false" ht="26.1" hidden="false" customHeight="false" outlineLevel="0" collapsed="false">
      <c r="A192" s="13" t="n">
        <v>45583.4047789815</v>
      </c>
      <c r="B192" s="13" t="n">
        <v>45583.4049149653</v>
      </c>
      <c r="C192" s="18" t="n">
        <f aca="false">(B192-A192)</f>
        <v>0.000135983796296296</v>
      </c>
      <c r="D192" s="19" t="n">
        <f aca="false">CEILING(C192,"00:00:05")</f>
        <v>0.000173611111111111</v>
      </c>
      <c r="E192" s="54" t="s">
        <v>188</v>
      </c>
      <c r="F192" s="48" t="n">
        <v>0.000201435185185185</v>
      </c>
      <c r="G192" s="49" t="n">
        <v>1</v>
      </c>
    </row>
    <row r="193" customFormat="false" ht="15" hidden="false" customHeight="false" outlineLevel="0" collapsed="false">
      <c r="A193" s="13" t="n">
        <v>45583.4058298032</v>
      </c>
      <c r="B193" s="13" t="n">
        <v>45583.4059975347</v>
      </c>
      <c r="C193" s="18" t="n">
        <f aca="false">(B193-A193)</f>
        <v>0.000167731481481481</v>
      </c>
      <c r="D193" s="19" t="n">
        <f aca="false">CEILING(C193,"00:00:05")</f>
        <v>0.000173611111111111</v>
      </c>
      <c r="E193" s="54" t="s">
        <v>189</v>
      </c>
      <c r="F193" s="48" t="n">
        <v>0.000203611111111111</v>
      </c>
      <c r="G193" s="49" t="n">
        <v>1</v>
      </c>
    </row>
    <row r="194" customFormat="false" ht="15" hidden="false" customHeight="false" outlineLevel="0" collapsed="false">
      <c r="A194" s="13" t="n">
        <v>45588.497701331</v>
      </c>
      <c r="B194" s="13" t="n">
        <v>45588.4978243634</v>
      </c>
      <c r="C194" s="18" t="n">
        <f aca="false">(B194-A194)</f>
        <v>0.000123032407407407</v>
      </c>
      <c r="D194" s="19" t="n">
        <f aca="false">CEILING(C194,"00:00:05")</f>
        <v>0.000173611111111111</v>
      </c>
      <c r="E194" s="54" t="s">
        <v>190</v>
      </c>
      <c r="F194" s="48" t="n">
        <v>0.000204212962962963</v>
      </c>
      <c r="G194" s="49" t="n">
        <v>1</v>
      </c>
    </row>
    <row r="195" customFormat="false" ht="15" hidden="false" customHeight="false" outlineLevel="0" collapsed="false">
      <c r="A195" s="13" t="n">
        <v>45588.4999395833</v>
      </c>
      <c r="B195" s="13" t="n">
        <v>45588.5002434028</v>
      </c>
      <c r="C195" s="18" t="n">
        <f aca="false">(B195-A195)</f>
        <v>0.000303819444444444</v>
      </c>
      <c r="D195" s="19" t="n">
        <f aca="false">CEILING(C195,"00:00:05")</f>
        <v>0.000347222222222222</v>
      </c>
      <c r="E195" s="54" t="s">
        <v>191</v>
      </c>
      <c r="F195" s="48" t="n">
        <v>0.000205833333333333</v>
      </c>
      <c r="G195" s="49" t="n">
        <v>1</v>
      </c>
    </row>
    <row r="196" customFormat="false" ht="15" hidden="false" customHeight="false" outlineLevel="0" collapsed="false">
      <c r="A196" s="13" t="n">
        <v>45588.5022399884</v>
      </c>
      <c r="B196" s="13" t="n">
        <v>45588.5023947106</v>
      </c>
      <c r="C196" s="18" t="n">
        <f aca="false">(B196-A196)</f>
        <v>0.000154722222222222</v>
      </c>
      <c r="D196" s="19" t="n">
        <f aca="false">CEILING(C196,"00:00:05")</f>
        <v>0.000173611111111111</v>
      </c>
      <c r="E196" s="54" t="s">
        <v>192</v>
      </c>
      <c r="F196" s="48" t="n">
        <v>0.000207962962962963</v>
      </c>
      <c r="G196" s="49" t="n">
        <v>1</v>
      </c>
    </row>
    <row r="197" customFormat="false" ht="15" hidden="false" customHeight="false" outlineLevel="0" collapsed="false">
      <c r="A197" s="13" t="n">
        <v>45588.5030025231</v>
      </c>
      <c r="B197" s="13" t="n">
        <v>45588.5031084491</v>
      </c>
      <c r="C197" s="18" t="n">
        <f aca="false">(B197-A197)</f>
        <v>0.000105925925925926</v>
      </c>
      <c r="D197" s="19" t="n">
        <f aca="false">CEILING(C197,"00:00:05")</f>
        <v>0.000115740740740741</v>
      </c>
      <c r="E197" s="54" t="n">
        <v>1</v>
      </c>
      <c r="F197" s="48" t="n">
        <v>0.000208738425925926</v>
      </c>
      <c r="G197" s="49" t="n">
        <v>1</v>
      </c>
    </row>
    <row r="198" customFormat="false" ht="15" hidden="false" customHeight="false" outlineLevel="0" collapsed="false">
      <c r="A198" s="13" t="n">
        <v>45589.8745403009</v>
      </c>
      <c r="B198" s="13" t="n">
        <v>45589.8747417361</v>
      </c>
      <c r="C198" s="18" t="n">
        <f aca="false">(B198-A198)</f>
        <v>0.000201435185185185</v>
      </c>
      <c r="D198" s="19" t="n">
        <f aca="false">CEILING(C198,"00:00:05")</f>
        <v>0.000231481481481482</v>
      </c>
      <c r="E198" s="54" t="s">
        <v>193</v>
      </c>
      <c r="F198" s="48" t="n">
        <v>0.000211481481481481</v>
      </c>
      <c r="G198" s="49" t="n">
        <v>1</v>
      </c>
    </row>
    <row r="199" customFormat="false" ht="15" hidden="false" customHeight="false" outlineLevel="0" collapsed="false">
      <c r="A199" s="13" t="n">
        <v>45589.8885351736</v>
      </c>
      <c r="B199" s="13" t="n">
        <v>45589.8888104282</v>
      </c>
      <c r="C199" s="18" t="n">
        <f aca="false">(B199-A199)</f>
        <v>0.00027525462962963</v>
      </c>
      <c r="D199" s="19" t="n">
        <f aca="false">CEILING(C199,"00:00:05")</f>
        <v>0.000289351851851852</v>
      </c>
      <c r="E199" s="54" t="s">
        <v>194</v>
      </c>
      <c r="F199" s="48" t="n">
        <v>0.000212025462962963</v>
      </c>
      <c r="G199" s="49" t="n">
        <v>1</v>
      </c>
    </row>
    <row r="200" customFormat="false" ht="15" hidden="false" customHeight="false" outlineLevel="0" collapsed="false">
      <c r="A200" s="13" t="n">
        <v>45590.3079196875</v>
      </c>
      <c r="B200" s="13" t="n">
        <v>45590.3082965509</v>
      </c>
      <c r="C200" s="18" t="n">
        <f aca="false">(B200-A200)</f>
        <v>0.000376863425925926</v>
      </c>
      <c r="D200" s="19" t="n">
        <f aca="false">CEILING(C200,"00:00:05")</f>
        <v>0.000405092592592593</v>
      </c>
      <c r="E200" s="54" t="n">
        <v>4</v>
      </c>
      <c r="F200" s="48" t="n">
        <v>0.000217708333333333</v>
      </c>
      <c r="G200" s="49" t="n">
        <v>1</v>
      </c>
    </row>
    <row r="201" customFormat="false" ht="15" hidden="false" customHeight="false" outlineLevel="0" collapsed="false">
      <c r="A201" s="13" t="n">
        <v>45590.3086459491</v>
      </c>
      <c r="B201" s="13" t="n">
        <v>45590.3088263426</v>
      </c>
      <c r="C201" s="18" t="n">
        <f aca="false">(B201-A201)</f>
        <v>0.000180393518518519</v>
      </c>
      <c r="D201" s="19" t="n">
        <f aca="false">CEILING(C201,"00:00:05")</f>
        <v>0.000231481481481482</v>
      </c>
      <c r="E201" s="54" t="n">
        <v>4</v>
      </c>
      <c r="F201" s="48" t="n">
        <v>0.000218321759259259</v>
      </c>
      <c r="G201" s="49" t="n">
        <v>1</v>
      </c>
    </row>
    <row r="202" customFormat="false" ht="15" hidden="false" customHeight="false" outlineLevel="0" collapsed="false">
      <c r="A202" s="13" t="n">
        <v>45590.3092092708</v>
      </c>
      <c r="B202" s="13" t="n">
        <v>45590.309622037</v>
      </c>
      <c r="C202" s="18" t="n">
        <f aca="false">(B202-A202)</f>
        <v>0.000412766203703704</v>
      </c>
      <c r="D202" s="19" t="n">
        <f aca="false">CEILING(C202,"00:00:05")</f>
        <v>0.000462962962962963</v>
      </c>
      <c r="E202" s="54" t="n">
        <v>2</v>
      </c>
      <c r="F202" s="48" t="n">
        <v>0.000219409722222222</v>
      </c>
      <c r="G202" s="49" t="n">
        <v>1</v>
      </c>
    </row>
    <row r="203" customFormat="false" ht="38.6" hidden="false" customHeight="false" outlineLevel="0" collapsed="false">
      <c r="A203" s="13" t="n">
        <v>45590.3144247454</v>
      </c>
      <c r="B203" s="13" t="n">
        <v>45590.3147393519</v>
      </c>
      <c r="C203" s="18" t="n">
        <f aca="false">(B203-A203)</f>
        <v>0.000314606481481481</v>
      </c>
      <c r="D203" s="19" t="n">
        <f aca="false">CEILING(C203,"00:00:05")</f>
        <v>0.000347222222222222</v>
      </c>
      <c r="E203" s="54" t="s">
        <v>195</v>
      </c>
      <c r="F203" s="48" t="n">
        <v>0.000219826388888889</v>
      </c>
      <c r="G203" s="49" t="n">
        <v>1</v>
      </c>
    </row>
    <row r="204" customFormat="false" ht="15" hidden="false" customHeight="false" outlineLevel="0" collapsed="false">
      <c r="A204" s="13" t="n">
        <v>45590.3150797801</v>
      </c>
      <c r="B204" s="13" t="n">
        <v>45590.3152664931</v>
      </c>
      <c r="C204" s="18" t="n">
        <f aca="false">(B204-A204)</f>
        <v>0.000186712962962963</v>
      </c>
      <c r="D204" s="19" t="n">
        <f aca="false">CEILING(C204,"00:00:05")</f>
        <v>0.000231481481481482</v>
      </c>
      <c r="E204" s="54" t="n">
        <v>2</v>
      </c>
      <c r="F204" s="48" t="n">
        <v>0.000220196759259259</v>
      </c>
      <c r="G204" s="49" t="n">
        <v>1</v>
      </c>
    </row>
    <row r="205" customFormat="false" ht="15" hidden="false" customHeight="false" outlineLevel="0" collapsed="false">
      <c r="A205" s="13" t="n">
        <v>45590.3156843634</v>
      </c>
      <c r="B205" s="13" t="n">
        <v>45590.3158454514</v>
      </c>
      <c r="C205" s="18" t="n">
        <f aca="false">(B205-A205)</f>
        <v>0.000161087962962963</v>
      </c>
      <c r="D205" s="19" t="n">
        <f aca="false">CEILING(C205,"00:00:05")</f>
        <v>0.000173611111111111</v>
      </c>
      <c r="E205" s="54" t="n">
        <v>2</v>
      </c>
      <c r="F205" s="48" t="n">
        <v>0.000220983796296296</v>
      </c>
      <c r="G205" s="49" t="n">
        <v>1</v>
      </c>
    </row>
    <row r="206" customFormat="false" ht="15" hidden="false" customHeight="false" outlineLevel="0" collapsed="false">
      <c r="A206" s="13" t="n">
        <v>45590.316222037</v>
      </c>
      <c r="B206" s="13" t="n">
        <v>45590.3165100116</v>
      </c>
      <c r="C206" s="18" t="n">
        <f aca="false">(B206-A206)</f>
        <v>0.000287974537037037</v>
      </c>
      <c r="D206" s="19" t="n">
        <f aca="false">CEILING(C206,"00:00:05")</f>
        <v>0.000289351851851852</v>
      </c>
      <c r="E206" s="54" t="n">
        <v>2</v>
      </c>
      <c r="F206" s="48" t="n">
        <v>0.000223344907407407</v>
      </c>
      <c r="G206" s="49" t="n">
        <v>1</v>
      </c>
    </row>
    <row r="207" customFormat="false" ht="15" hidden="false" customHeight="false" outlineLevel="0" collapsed="false">
      <c r="A207" s="13" t="n">
        <v>45590.3176177199</v>
      </c>
      <c r="B207" s="13" t="n">
        <v>45590.3194870139</v>
      </c>
      <c r="C207" s="18" t="n">
        <f aca="false">(B207-A207)</f>
        <v>0.00186929398148148</v>
      </c>
      <c r="D207" s="19" t="n">
        <f aca="false">CEILING(C207,"00:00:05")</f>
        <v>0.00190972222222222</v>
      </c>
      <c r="E207" s="54" t="s">
        <v>196</v>
      </c>
      <c r="F207" s="48" t="n">
        <v>0.00022431712962963</v>
      </c>
      <c r="G207" s="49" t="n">
        <v>1</v>
      </c>
    </row>
    <row r="208" customFormat="false" ht="15" hidden="false" customHeight="false" outlineLevel="0" collapsed="false">
      <c r="A208" s="13" t="n">
        <v>45590.3202859491</v>
      </c>
      <c r="B208" s="13" t="n">
        <v>45590.3204509028</v>
      </c>
      <c r="C208" s="18" t="n">
        <f aca="false">(B208-A208)</f>
        <v>0.000164953703703704</v>
      </c>
      <c r="D208" s="19" t="n">
        <f aca="false">CEILING(C208,"00:00:05")</f>
        <v>0.000173611111111111</v>
      </c>
      <c r="E208" s="54" t="n">
        <v>4</v>
      </c>
      <c r="F208" s="48" t="n">
        <v>0.00022505787037037</v>
      </c>
      <c r="G208" s="49" t="n">
        <v>1</v>
      </c>
    </row>
    <row r="209" customFormat="false" ht="15" hidden="false" customHeight="false" outlineLevel="0" collapsed="false">
      <c r="A209" s="13" t="n">
        <v>45590.3227806944</v>
      </c>
      <c r="B209" s="13" t="n">
        <v>45590.322908588</v>
      </c>
      <c r="C209" s="18" t="n">
        <f aca="false">(B209-A209)</f>
        <v>0.000127893518518519</v>
      </c>
      <c r="D209" s="19" t="n">
        <f aca="false">CEILING(C209,"00:00:05")</f>
        <v>0.000173611111111111</v>
      </c>
      <c r="E209" s="54" t="s">
        <v>197</v>
      </c>
      <c r="F209" s="48" t="n">
        <v>0.000227592592592593</v>
      </c>
      <c r="G209" s="49" t="n">
        <v>1</v>
      </c>
    </row>
    <row r="210" customFormat="false" ht="38.6" hidden="false" customHeight="false" outlineLevel="0" collapsed="false">
      <c r="A210" s="13" t="n">
        <v>45590.3248641435</v>
      </c>
      <c r="B210" s="13" t="n">
        <v>45590.3251043287</v>
      </c>
      <c r="C210" s="18" t="n">
        <f aca="false">(B210-A210)</f>
        <v>0.000240185185185185</v>
      </c>
      <c r="D210" s="19" t="n">
        <f aca="false">CEILING(C210,"00:00:05")</f>
        <v>0.000289351851851852</v>
      </c>
      <c r="E210" s="54" t="s">
        <v>198</v>
      </c>
      <c r="F210" s="48" t="n">
        <v>0.000228981493055556</v>
      </c>
      <c r="G210" s="49" t="n">
        <v>1</v>
      </c>
    </row>
    <row r="211" customFormat="false" ht="15" hidden="false" customHeight="false" outlineLevel="0" collapsed="false">
      <c r="A211" s="13" t="n">
        <v>45590.325240787</v>
      </c>
      <c r="B211" s="13" t="n">
        <v>45590.3253743634</v>
      </c>
      <c r="C211" s="18" t="n">
        <f aca="false">(B211-A211)</f>
        <v>0.000133576388888889</v>
      </c>
      <c r="D211" s="19" t="n">
        <f aca="false">CEILING(C211,"00:00:05")</f>
        <v>0.000173611111111111</v>
      </c>
      <c r="E211" s="54" t="n">
        <v>3</v>
      </c>
      <c r="F211" s="48" t="n">
        <v>0.000231331018518519</v>
      </c>
      <c r="G211" s="49" t="n">
        <v>1</v>
      </c>
    </row>
    <row r="212" customFormat="false" ht="15" hidden="false" customHeight="false" outlineLevel="0" collapsed="false">
      <c r="A212" s="13" t="n">
        <v>45590.3256431713</v>
      </c>
      <c r="B212" s="13" t="n">
        <v>45590.3258169792</v>
      </c>
      <c r="C212" s="18" t="n">
        <f aca="false">(B212-A212)</f>
        <v>0.00017380787037037</v>
      </c>
      <c r="D212" s="19" t="n">
        <f aca="false">CEILING(C212,"00:00:05")</f>
        <v>0.000231481481481482</v>
      </c>
      <c r="E212" s="54" t="n">
        <v>3</v>
      </c>
      <c r="F212" s="48" t="n">
        <v>0.000237662037037037</v>
      </c>
      <c r="G212" s="49" t="n">
        <v>1</v>
      </c>
    </row>
    <row r="213" customFormat="false" ht="15" hidden="false" customHeight="false" outlineLevel="0" collapsed="false">
      <c r="A213" s="13" t="n">
        <v>45590.329725081</v>
      </c>
      <c r="B213" s="13" t="n">
        <v>45590.3299309144</v>
      </c>
      <c r="C213" s="18" t="n">
        <f aca="false">(B213-A213)</f>
        <v>0.000205833333333333</v>
      </c>
      <c r="D213" s="19" t="n">
        <f aca="false">CEILING(C213,"00:00:05")</f>
        <v>0.000231481481481482</v>
      </c>
      <c r="E213" s="54" t="s">
        <v>199</v>
      </c>
      <c r="F213" s="48" t="n">
        <v>0.000237974537037037</v>
      </c>
      <c r="G213" s="49" t="n">
        <v>1</v>
      </c>
    </row>
    <row r="214" customFormat="false" ht="15" hidden="false" customHeight="false" outlineLevel="0" collapsed="false">
      <c r="A214" s="13" t="n">
        <v>45590.3310108796</v>
      </c>
      <c r="B214" s="13" t="n">
        <v>45590.3311478241</v>
      </c>
      <c r="C214" s="18" t="n">
        <f aca="false">(B214-A214)</f>
        <v>0.000136944444444444</v>
      </c>
      <c r="D214" s="19" t="n">
        <f aca="false">CEILING(C214,"00:00:05")</f>
        <v>0.000173611111111111</v>
      </c>
      <c r="E214" s="54" t="s">
        <v>200</v>
      </c>
      <c r="F214" s="48" t="n">
        <v>0.000238657407407407</v>
      </c>
      <c r="G214" s="49" t="n">
        <v>1</v>
      </c>
    </row>
    <row r="215" customFormat="false" ht="26.1" hidden="false" customHeight="false" outlineLevel="0" collapsed="false">
      <c r="A215" s="13" t="n">
        <v>45590.332370463</v>
      </c>
      <c r="B215" s="13" t="n">
        <v>45590.3324798727</v>
      </c>
      <c r="C215" s="18" t="n">
        <f aca="false">(B215-A215)</f>
        <v>0.000109409722222222</v>
      </c>
      <c r="D215" s="19" t="n">
        <f aca="false">CEILING(C215,"00:00:05")</f>
        <v>0.000115740740740741</v>
      </c>
      <c r="E215" s="54" t="s">
        <v>201</v>
      </c>
      <c r="F215" s="48" t="n">
        <v>0.000238819444444444</v>
      </c>
      <c r="G215" s="49" t="n">
        <v>1</v>
      </c>
    </row>
    <row r="216" customFormat="false" ht="15" hidden="false" customHeight="false" outlineLevel="0" collapsed="false">
      <c r="A216" s="13" t="n">
        <v>45590.3327749653</v>
      </c>
      <c r="B216" s="13" t="n">
        <v>45590.3329536921</v>
      </c>
      <c r="C216" s="18" t="n">
        <f aca="false">(B216-A216)</f>
        <v>0.000178726851851852</v>
      </c>
      <c r="D216" s="19" t="n">
        <f aca="false">CEILING(C216,"00:00:05")</f>
        <v>0.000231481481481482</v>
      </c>
      <c r="E216" s="54" t="s">
        <v>202</v>
      </c>
      <c r="F216" s="48" t="n">
        <v>0.000240185185185185</v>
      </c>
      <c r="G216" s="49" t="n">
        <v>1</v>
      </c>
    </row>
    <row r="217" customFormat="false" ht="15" hidden="false" customHeight="false" outlineLevel="0" collapsed="false">
      <c r="A217" s="13" t="n">
        <v>45590.3333482755</v>
      </c>
      <c r="B217" s="13" t="n">
        <v>45590.3334684491</v>
      </c>
      <c r="C217" s="18" t="n">
        <f aca="false">(B217-A217)</f>
        <v>0.000120173611111111</v>
      </c>
      <c r="D217" s="19" t="n">
        <f aca="false">CEILING(C217,"00:00:05")</f>
        <v>0.000173611111111111</v>
      </c>
      <c r="E217" s="54" t="s">
        <v>203</v>
      </c>
      <c r="F217" s="48" t="n">
        <v>0.00024162037037037</v>
      </c>
      <c r="G217" s="49" t="n">
        <v>1</v>
      </c>
    </row>
    <row r="218" customFormat="false" ht="15" hidden="false" customHeight="false" outlineLevel="0" collapsed="false">
      <c r="A218" s="13" t="n">
        <v>45590.3337341088</v>
      </c>
      <c r="B218" s="13" t="n">
        <v>45590.3338848148</v>
      </c>
      <c r="C218" s="18" t="n">
        <f aca="false">(B218-A218)</f>
        <v>0.000150706018518519</v>
      </c>
      <c r="D218" s="19" t="n">
        <f aca="false">CEILING(C218,"00:00:05")</f>
        <v>0.000173611111111111</v>
      </c>
      <c r="E218" s="54" t="s">
        <v>204</v>
      </c>
      <c r="F218" s="48" t="n">
        <v>0.000245590277777778</v>
      </c>
      <c r="G218" s="49" t="n">
        <v>1</v>
      </c>
    </row>
    <row r="219" customFormat="false" ht="15" hidden="false" customHeight="false" outlineLevel="0" collapsed="false">
      <c r="A219" s="13" t="n">
        <v>45590.3339852894</v>
      </c>
      <c r="B219" s="13" t="n">
        <v>45590.3341435185</v>
      </c>
      <c r="C219" s="18" t="n">
        <f aca="false">(B219-A219)</f>
        <v>0.000158229166666667</v>
      </c>
      <c r="D219" s="19" t="n">
        <f aca="false">CEILING(C219,"00:00:05")</f>
        <v>0.000173611111111111</v>
      </c>
      <c r="E219" s="54" t="n">
        <v>1</v>
      </c>
      <c r="F219" s="48" t="n">
        <v>0.000245925925925926</v>
      </c>
      <c r="G219" s="49" t="n">
        <v>1</v>
      </c>
    </row>
    <row r="220" customFormat="false" ht="15" hidden="false" customHeight="false" outlineLevel="0" collapsed="false">
      <c r="A220" s="13" t="n">
        <v>45590.3345729398</v>
      </c>
      <c r="B220" s="13" t="n">
        <v>45590.3348596296</v>
      </c>
      <c r="C220" s="18" t="n">
        <f aca="false">(B220-A220)</f>
        <v>0.000286689814814815</v>
      </c>
      <c r="D220" s="19" t="n">
        <f aca="false">CEILING(C220,"00:00:05")</f>
        <v>0.000289351851851852</v>
      </c>
      <c r="E220" s="54" t="s">
        <v>205</v>
      </c>
      <c r="F220" s="48" t="n">
        <v>0.000249178240740741</v>
      </c>
      <c r="G220" s="49" t="n">
        <v>1</v>
      </c>
    </row>
    <row r="221" customFormat="false" ht="15" hidden="false" customHeight="false" outlineLevel="0" collapsed="false">
      <c r="A221" s="13" t="n">
        <v>45590.3351794676</v>
      </c>
      <c r="B221" s="13" t="n">
        <v>45590.3352115046</v>
      </c>
      <c r="C221" s="18" t="n">
        <f aca="false">(B221-A221)</f>
        <v>3.2037037037037E-005</v>
      </c>
      <c r="D221" s="19" t="n">
        <f aca="false">CEILING(C221,"00:00:05")</f>
        <v>5.78703703703704E-005</v>
      </c>
      <c r="E221" s="54" t="s">
        <v>206</v>
      </c>
      <c r="F221" s="48" t="n">
        <v>0.000249444444444444</v>
      </c>
      <c r="G221" s="49" t="n">
        <v>1</v>
      </c>
    </row>
    <row r="222" customFormat="false" ht="15" hidden="false" customHeight="false" outlineLevel="0" collapsed="false">
      <c r="A222" s="13" t="n">
        <v>45590.3354694792</v>
      </c>
      <c r="B222" s="13" t="n">
        <v>45590.3355084144</v>
      </c>
      <c r="C222" s="18" t="n">
        <f aca="false">(B222-A222)</f>
        <v>3.89351967592593E-005</v>
      </c>
      <c r="D222" s="19" t="n">
        <f aca="false">CEILING(C222,"00:00:05")</f>
        <v>5.78703703703704E-005</v>
      </c>
      <c r="E222" s="54" t="s">
        <v>207</v>
      </c>
      <c r="F222" s="48" t="n">
        <v>0.0002496875</v>
      </c>
      <c r="G222" s="49" t="n">
        <v>1</v>
      </c>
    </row>
    <row r="223" customFormat="false" ht="15" hidden="false" customHeight="false" outlineLevel="0" collapsed="false">
      <c r="A223" s="13" t="n">
        <v>45590.3356920718</v>
      </c>
      <c r="B223" s="13" t="n">
        <v>45590.335937662</v>
      </c>
      <c r="C223" s="18" t="n">
        <f aca="false">(B223-A223)</f>
        <v>0.000245590277777778</v>
      </c>
      <c r="D223" s="19" t="n">
        <f aca="false">CEILING(C223,"00:00:05")</f>
        <v>0.000289351851851852</v>
      </c>
      <c r="E223" s="54" t="s">
        <v>208</v>
      </c>
      <c r="F223" s="48" t="n">
        <v>0.000252210648148148</v>
      </c>
      <c r="G223" s="49" t="n">
        <v>1</v>
      </c>
    </row>
    <row r="224" customFormat="false" ht="15" hidden="false" customHeight="false" outlineLevel="0" collapsed="false">
      <c r="A224" s="13" t="n">
        <v>45591.5446966319</v>
      </c>
      <c r="B224" s="13" t="n">
        <v>45591.5447609954</v>
      </c>
      <c r="C224" s="18" t="n">
        <f aca="false">(B224-A224)</f>
        <v>6.43634259259259E-005</v>
      </c>
      <c r="D224" s="19" t="n">
        <f aca="false">CEILING(C224,"00:00:05")</f>
        <v>0.000115740740740741</v>
      </c>
      <c r="E224" s="54" t="s">
        <v>209</v>
      </c>
      <c r="F224" s="48" t="n">
        <v>0.000255763888888889</v>
      </c>
      <c r="G224" s="49" t="n">
        <v>1</v>
      </c>
    </row>
    <row r="225" customFormat="false" ht="15" hidden="false" customHeight="false" outlineLevel="0" collapsed="false">
      <c r="A225" s="13" t="n">
        <v>45591.5459075116</v>
      </c>
      <c r="B225" s="13" t="n">
        <v>45591.5463950232</v>
      </c>
      <c r="C225" s="18" t="n">
        <f aca="false">(B225-A225)</f>
        <v>0.000487511574074074</v>
      </c>
      <c r="D225" s="19" t="n">
        <f aca="false">CEILING(C225,"00:00:05")</f>
        <v>0.000520833333333333</v>
      </c>
      <c r="E225" s="54" t="s">
        <v>210</v>
      </c>
      <c r="F225" s="48" t="n">
        <v>0.000256087962962963</v>
      </c>
      <c r="G225" s="49" t="n">
        <v>1</v>
      </c>
    </row>
    <row r="226" customFormat="false" ht="15" hidden="false" customHeight="false" outlineLevel="0" collapsed="false">
      <c r="A226" s="13" t="n">
        <v>45585.551660544</v>
      </c>
      <c r="B226" s="13" t="n">
        <v>45585.5517386806</v>
      </c>
      <c r="C226" s="18" t="n">
        <f aca="false">(B226-A226)</f>
        <v>7.81365740740741E-005</v>
      </c>
      <c r="D226" s="19" t="n">
        <f aca="false">CEILING(C226,"00:00:05")</f>
        <v>0.000115740740740741</v>
      </c>
      <c r="E226" s="54" t="s">
        <v>211</v>
      </c>
      <c r="F226" s="48" t="n">
        <v>0.000260902777777778</v>
      </c>
      <c r="G226" s="49" t="n">
        <v>1</v>
      </c>
    </row>
    <row r="227" customFormat="false" ht="15" hidden="false" customHeight="false" outlineLevel="0" collapsed="false">
      <c r="A227" s="13" t="n">
        <v>45585.5520172338</v>
      </c>
      <c r="B227" s="13" t="n">
        <v>45585.5521445139</v>
      </c>
      <c r="C227" s="18" t="n">
        <f aca="false">(B227-A227)</f>
        <v>0.000127280092592593</v>
      </c>
      <c r="D227" s="19" t="n">
        <f aca="false">CEILING(C227,"00:00:05")</f>
        <v>0.000173611111111111</v>
      </c>
      <c r="E227" s="54" t="s">
        <v>212</v>
      </c>
      <c r="F227" s="48" t="n">
        <v>0.000261122685185185</v>
      </c>
      <c r="G227" s="49" t="n">
        <v>1</v>
      </c>
    </row>
    <row r="228" customFormat="false" ht="15" hidden="false" customHeight="false" outlineLevel="0" collapsed="false">
      <c r="A228" s="13" t="n">
        <v>45585.5525862269</v>
      </c>
      <c r="B228" s="13" t="n">
        <v>45585.5528354051</v>
      </c>
      <c r="C228" s="18" t="n">
        <f aca="false">(B228-A228)</f>
        <v>0.000249178240740741</v>
      </c>
      <c r="D228" s="19" t="n">
        <f aca="false">CEILING(C228,"00:00:05")</f>
        <v>0.000289351851851852</v>
      </c>
      <c r="E228" s="54" t="s">
        <v>213</v>
      </c>
      <c r="F228" s="48" t="n">
        <v>0.000261469907407407</v>
      </c>
      <c r="G228" s="49" t="n">
        <v>1</v>
      </c>
    </row>
    <row r="229" customFormat="false" ht="15" hidden="false" customHeight="false" outlineLevel="0" collapsed="false">
      <c r="A229" s="13" t="n">
        <v>45585.5531627662</v>
      </c>
      <c r="B229" s="13" t="n">
        <v>45585.5533414236</v>
      </c>
      <c r="C229" s="18" t="n">
        <f aca="false">(B229-A229)</f>
        <v>0.000178657407407407</v>
      </c>
      <c r="D229" s="19" t="n">
        <f aca="false">CEILING(C229,"00:00:05")</f>
        <v>0.000231481481481482</v>
      </c>
      <c r="E229" s="54" t="n">
        <v>3</v>
      </c>
      <c r="F229" s="48" t="n">
        <v>0.000265868055555556</v>
      </c>
      <c r="G229" s="49" t="n">
        <v>1</v>
      </c>
    </row>
    <row r="230" customFormat="false" ht="15" hidden="false" customHeight="false" outlineLevel="0" collapsed="false">
      <c r="A230" s="13" t="n">
        <v>45585.5535563194</v>
      </c>
      <c r="B230" s="13" t="n">
        <v>45585.5536599884</v>
      </c>
      <c r="C230" s="18" t="n">
        <f aca="false">(B230-A230)</f>
        <v>0.000103668981481482</v>
      </c>
      <c r="D230" s="19" t="n">
        <f aca="false">CEILING(C230,"00:00:05")</f>
        <v>0.000115740740740741</v>
      </c>
      <c r="E230" s="54" t="n">
        <v>4</v>
      </c>
      <c r="F230" s="48" t="n">
        <v>0.000266585648148148</v>
      </c>
      <c r="G230" s="49" t="n">
        <v>1</v>
      </c>
    </row>
    <row r="231" customFormat="false" ht="15" hidden="false" customHeight="false" outlineLevel="0" collapsed="false">
      <c r="A231" s="13" t="n">
        <v>45585.553831331</v>
      </c>
      <c r="B231" s="13" t="n">
        <v>45585.5541645255</v>
      </c>
      <c r="C231" s="18" t="n">
        <f aca="false">(B231-A231)</f>
        <v>0.000333194444444444</v>
      </c>
      <c r="D231" s="19" t="n">
        <f aca="false">CEILING(C231,"00:00:05")</f>
        <v>0.000347222222222222</v>
      </c>
      <c r="E231" s="54" t="n">
        <v>3</v>
      </c>
      <c r="F231" s="48" t="n">
        <v>0.000270844907407407</v>
      </c>
      <c r="G231" s="49" t="n">
        <v>1</v>
      </c>
    </row>
    <row r="232" customFormat="false" ht="15" hidden="false" customHeight="false" outlineLevel="0" collapsed="false">
      <c r="A232" s="13" t="n">
        <v>45585.5547043287</v>
      </c>
      <c r="B232" s="13" t="n">
        <v>45585.5549286458</v>
      </c>
      <c r="C232" s="18" t="n">
        <f aca="false">(B232-A232)</f>
        <v>0.00022431712962963</v>
      </c>
      <c r="D232" s="19" t="n">
        <f aca="false">CEILING(C232,"00:00:05")</f>
        <v>0.000231481481481482</v>
      </c>
      <c r="E232" s="54" t="s">
        <v>214</v>
      </c>
      <c r="F232" s="48" t="n">
        <v>0.000271481481481482</v>
      </c>
      <c r="G232" s="49" t="n">
        <v>1</v>
      </c>
    </row>
    <row r="233" customFormat="false" ht="15" hidden="false" customHeight="false" outlineLevel="0" collapsed="false">
      <c r="A233" s="13" t="n">
        <v>45585.5551568634</v>
      </c>
      <c r="B233" s="13" t="n">
        <v>45585.5552672222</v>
      </c>
      <c r="C233" s="18" t="n">
        <f aca="false">(B233-A233)</f>
        <v>0.000110358796296296</v>
      </c>
      <c r="D233" s="19" t="n">
        <f aca="false">CEILING(C233,"00:00:05")</f>
        <v>0.000115740740740741</v>
      </c>
      <c r="E233" s="54" t="n">
        <v>4</v>
      </c>
      <c r="F233" s="48" t="n">
        <v>0.000272488425925926</v>
      </c>
      <c r="G233" s="49" t="n">
        <v>1</v>
      </c>
    </row>
    <row r="234" customFormat="false" ht="15" hidden="false" customHeight="false" outlineLevel="0" collapsed="false">
      <c r="A234" s="13" t="n">
        <v>45585.555538206</v>
      </c>
      <c r="B234" s="13" t="n">
        <v>45585.5558467593</v>
      </c>
      <c r="C234" s="18" t="n">
        <f aca="false">(B234-A234)</f>
        <v>0.000308553240740741</v>
      </c>
      <c r="D234" s="19" t="n">
        <f aca="false">CEILING(C234,"00:00:05")</f>
        <v>0.000347222222222222</v>
      </c>
      <c r="E234" s="54" t="s">
        <v>215</v>
      </c>
      <c r="F234" s="48" t="n">
        <v>0.00027525462962963</v>
      </c>
      <c r="G234" s="49" t="n">
        <v>1</v>
      </c>
    </row>
    <row r="235" customFormat="false" ht="15" hidden="false" customHeight="false" outlineLevel="0" collapsed="false">
      <c r="A235" s="13" t="n">
        <v>45585.5566079282</v>
      </c>
      <c r="B235" s="13" t="n">
        <v>45585.5569241782</v>
      </c>
      <c r="C235" s="18" t="n">
        <f aca="false">(B235-A235)</f>
        <v>0.00031625</v>
      </c>
      <c r="D235" s="19" t="n">
        <f aca="false">CEILING(C235,"00:00:05")</f>
        <v>0.000347222222222222</v>
      </c>
      <c r="E235" s="54" t="s">
        <v>216</v>
      </c>
      <c r="F235" s="48" t="n">
        <v>0.000277453703703704</v>
      </c>
      <c r="G235" s="49" t="n">
        <v>1</v>
      </c>
    </row>
    <row r="236" customFormat="false" ht="15" hidden="false" customHeight="false" outlineLevel="0" collapsed="false">
      <c r="A236" s="13" t="n">
        <v>45585.5571192361</v>
      </c>
      <c r="B236" s="13" t="n">
        <v>45585.5572588426</v>
      </c>
      <c r="C236" s="18" t="n">
        <f aca="false">(B236-A236)</f>
        <v>0.000139606481481481</v>
      </c>
      <c r="D236" s="19" t="n">
        <f aca="false">CEILING(C236,"00:00:05")</f>
        <v>0.000173611111111111</v>
      </c>
      <c r="E236" s="54" t="n">
        <v>4</v>
      </c>
      <c r="F236" s="48" t="n">
        <v>0.000278449074074074</v>
      </c>
      <c r="G236" s="49" t="n">
        <v>1</v>
      </c>
    </row>
    <row r="237" customFormat="false" ht="15" hidden="false" customHeight="false" outlineLevel="0" collapsed="false">
      <c r="A237" s="13" t="n">
        <v>45592.7572771412</v>
      </c>
      <c r="B237" s="13" t="n">
        <v>45592.7575479861</v>
      </c>
      <c r="C237" s="18" t="n">
        <f aca="false">(B237-A237)</f>
        <v>0.000270844907407407</v>
      </c>
      <c r="D237" s="19" t="n">
        <f aca="false">CEILING(C237,"00:00:05")</f>
        <v>0.000289351851851852</v>
      </c>
      <c r="E237" s="54" t="s">
        <v>217</v>
      </c>
      <c r="F237" s="48" t="n">
        <v>0.000280358796296296</v>
      </c>
      <c r="G237" s="49" t="n">
        <v>1</v>
      </c>
    </row>
    <row r="238" customFormat="false" ht="15" hidden="false" customHeight="false" outlineLevel="0" collapsed="false">
      <c r="A238" s="13" t="n">
        <v>45592.7586050463</v>
      </c>
      <c r="B238" s="13" t="n">
        <v>45592.7589909954</v>
      </c>
      <c r="C238" s="18" t="n">
        <f aca="false">(B238-A238)</f>
        <v>0.0003859490625</v>
      </c>
      <c r="D238" s="19" t="n">
        <f aca="false">CEILING(C238,"00:00:05")</f>
        <v>0.000405092592592593</v>
      </c>
      <c r="E238" s="54" t="s">
        <v>218</v>
      </c>
      <c r="F238" s="48" t="n">
        <v>0.000282581018518519</v>
      </c>
      <c r="G238" s="49" t="n">
        <v>1</v>
      </c>
    </row>
    <row r="239" customFormat="false" ht="15" hidden="false" customHeight="false" outlineLevel="0" collapsed="false">
      <c r="A239" s="13" t="n">
        <v>45592.759244919</v>
      </c>
      <c r="B239" s="13" t="n">
        <v>45592.7595115046</v>
      </c>
      <c r="C239" s="18" t="n">
        <f aca="false">(B239-A239)</f>
        <v>0.000266585648148148</v>
      </c>
      <c r="D239" s="19" t="n">
        <f aca="false">CEILING(C239,"00:00:05")</f>
        <v>0.000289351851851852</v>
      </c>
      <c r="E239" s="54" t="n">
        <v>1</v>
      </c>
      <c r="F239" s="48" t="n">
        <v>0.000286689814814815</v>
      </c>
      <c r="G239" s="49" t="n">
        <v>1</v>
      </c>
    </row>
    <row r="240" customFormat="false" ht="15" hidden="false" customHeight="false" outlineLevel="0" collapsed="false">
      <c r="A240" s="13" t="n">
        <v>45592.7600679398</v>
      </c>
      <c r="B240" s="13" t="n">
        <v>45592.7603971181</v>
      </c>
      <c r="C240" s="18" t="n">
        <f aca="false">(B240-A240)</f>
        <v>0.000329178240740741</v>
      </c>
      <c r="D240" s="19" t="n">
        <f aca="false">CEILING(C240,"00:00:05")</f>
        <v>0.000347222222222222</v>
      </c>
      <c r="E240" s="54" t="s">
        <v>219</v>
      </c>
      <c r="F240" s="48" t="n">
        <v>0.000287268518518519</v>
      </c>
      <c r="G240" s="49" t="n">
        <v>1</v>
      </c>
    </row>
    <row r="241" customFormat="false" ht="15" hidden="false" customHeight="false" outlineLevel="0" collapsed="false">
      <c r="A241" s="13" t="n">
        <v>45592.760562662</v>
      </c>
      <c r="B241" s="13" t="n">
        <v>45592.7607305324</v>
      </c>
      <c r="C241" s="18" t="n">
        <f aca="false">(B241-A241)</f>
        <v>0.00016787037037037</v>
      </c>
      <c r="D241" s="19" t="n">
        <f aca="false">CEILING(C241,"00:00:05")</f>
        <v>0.000173611111111111</v>
      </c>
      <c r="E241" s="54" t="n">
        <v>4</v>
      </c>
      <c r="F241" s="48" t="n">
        <v>0.000287974537037037</v>
      </c>
      <c r="G241" s="49" t="n">
        <v>1</v>
      </c>
    </row>
    <row r="242" customFormat="false" ht="15" hidden="false" customHeight="false" outlineLevel="0" collapsed="false">
      <c r="A242" s="13" t="n">
        <v>45592.7608667708</v>
      </c>
      <c r="B242" s="13" t="n">
        <v>45592.760968044</v>
      </c>
      <c r="C242" s="18" t="n">
        <f aca="false">(B242-A242)</f>
        <v>0.000101273148148148</v>
      </c>
      <c r="D242" s="19" t="n">
        <f aca="false">CEILING(C242,"00:00:05")</f>
        <v>0.000115740740740741</v>
      </c>
      <c r="E242" s="54" t="n">
        <v>5</v>
      </c>
      <c r="F242" s="48" t="n">
        <v>0.000289467592592593</v>
      </c>
      <c r="G242" s="49" t="n">
        <v>1</v>
      </c>
    </row>
    <row r="243" customFormat="false" ht="15" hidden="false" customHeight="false" outlineLevel="0" collapsed="false">
      <c r="A243" s="13" t="n">
        <v>45592.7610162384</v>
      </c>
      <c r="B243" s="13" t="n">
        <v>45592.7613144213</v>
      </c>
      <c r="C243" s="18" t="n">
        <f aca="false">(B243-A243)</f>
        <v>0.00029818287037037</v>
      </c>
      <c r="D243" s="19" t="n">
        <f aca="false">CEILING(C243,"00:00:05")</f>
        <v>0.000347222222222222</v>
      </c>
      <c r="E243" s="54" t="n">
        <v>3</v>
      </c>
      <c r="F243" s="48" t="n">
        <v>0.00029818287037037</v>
      </c>
      <c r="G243" s="49" t="n">
        <v>1</v>
      </c>
    </row>
    <row r="244" customFormat="false" ht="15" hidden="false" customHeight="false" outlineLevel="0" collapsed="false">
      <c r="A244" s="13" t="n">
        <v>45592.7616994097</v>
      </c>
      <c r="B244" s="13" t="n">
        <v>45592.7619603125</v>
      </c>
      <c r="C244" s="18" t="n">
        <f aca="false">(B244-A244)</f>
        <v>0.000260902777777778</v>
      </c>
      <c r="D244" s="19" t="n">
        <f aca="false">CEILING(C244,"00:00:05")</f>
        <v>0.000289351851851852</v>
      </c>
      <c r="E244" s="54" t="s">
        <v>220</v>
      </c>
      <c r="F244" s="48" t="n">
        <v>0.000299837962962963</v>
      </c>
      <c r="G244" s="49" t="n">
        <v>1</v>
      </c>
    </row>
    <row r="245" customFormat="false" ht="15" hidden="false" customHeight="false" outlineLevel="0" collapsed="false">
      <c r="A245" s="13" t="n">
        <v>45592.7620898958</v>
      </c>
      <c r="B245" s="13" t="n">
        <v>45592.7623513657</v>
      </c>
      <c r="C245" s="18" t="n">
        <f aca="false">(B245-A245)</f>
        <v>0.000261469907407407</v>
      </c>
      <c r="D245" s="19" t="n">
        <f aca="false">CEILING(C245,"00:00:05")</f>
        <v>0.000289351851851852</v>
      </c>
      <c r="E245" s="54" t="n">
        <v>4</v>
      </c>
      <c r="F245" s="48" t="n">
        <v>0.000300300925925926</v>
      </c>
      <c r="G245" s="49" t="n">
        <v>1</v>
      </c>
    </row>
    <row r="246" customFormat="false" ht="15" hidden="false" customHeight="false" outlineLevel="0" collapsed="false">
      <c r="A246" s="13" t="n">
        <v>45582.6177052083</v>
      </c>
      <c r="B246" s="13" t="n">
        <v>45582.6177890857</v>
      </c>
      <c r="C246" s="18" t="n">
        <f aca="false">(B246-A246)</f>
        <v>8.38773148148148E-005</v>
      </c>
      <c r="D246" s="19" t="n">
        <f aca="false">CEILING(C246,"00:00:05")</f>
        <v>0.000115740740740741</v>
      </c>
      <c r="E246" s="54" t="s">
        <v>221</v>
      </c>
      <c r="F246" s="48" t="n">
        <v>0.000303819444444444</v>
      </c>
      <c r="G246" s="49" t="n">
        <v>1</v>
      </c>
    </row>
    <row r="247" customFormat="false" ht="26.1" hidden="false" customHeight="false" outlineLevel="0" collapsed="false">
      <c r="A247" s="13" t="n">
        <v>45582.6197246644</v>
      </c>
      <c r="B247" s="13" t="n">
        <v>45582.6199282755</v>
      </c>
      <c r="C247" s="18" t="n">
        <f aca="false">(B247-A247)</f>
        <v>0.000203611111111111</v>
      </c>
      <c r="D247" s="19" t="n">
        <f aca="false">CEILING(C247,"00:00:05")</f>
        <v>0.000231481481481482</v>
      </c>
      <c r="E247" s="54" t="s">
        <v>222</v>
      </c>
      <c r="F247" s="48" t="n">
        <v>0.000306805555555556</v>
      </c>
      <c r="G247" s="49" t="n">
        <v>1</v>
      </c>
    </row>
    <row r="248" customFormat="false" ht="15" hidden="false" customHeight="false" outlineLevel="0" collapsed="false">
      <c r="A248" s="13" t="n">
        <v>45585.7513878588</v>
      </c>
      <c r="B248" s="13" t="n">
        <v>45585.7515080324</v>
      </c>
      <c r="C248" s="18" t="n">
        <f aca="false">(B248-A248)</f>
        <v>0.000120173611111111</v>
      </c>
      <c r="D248" s="19" t="n">
        <f aca="false">CEILING(C248,"00:00:05")</f>
        <v>0.000173611111111111</v>
      </c>
      <c r="E248" s="54" t="s">
        <v>223</v>
      </c>
      <c r="F248" s="48" t="n">
        <v>0.000308553240740741</v>
      </c>
      <c r="G248" s="49" t="n">
        <v>1</v>
      </c>
    </row>
    <row r="249" customFormat="false" ht="15" hidden="false" customHeight="false" outlineLevel="0" collapsed="false">
      <c r="A249" s="13" t="n">
        <v>45585.756313206</v>
      </c>
      <c r="B249" s="13" t="n">
        <v>45585.7565009375</v>
      </c>
      <c r="C249" s="18" t="n">
        <f aca="false">(B249-A249)</f>
        <v>0.000187731481481481</v>
      </c>
      <c r="D249" s="19" t="n">
        <f aca="false">CEILING(C249,"00:00:05")</f>
        <v>0.000231481481481482</v>
      </c>
      <c r="E249" s="54" t="n">
        <v>4</v>
      </c>
      <c r="F249" s="48" t="n">
        <v>0.000310405092592593</v>
      </c>
      <c r="G249" s="49" t="n">
        <v>1</v>
      </c>
    </row>
    <row r="250" customFormat="false" ht="15" hidden="false" customHeight="false" outlineLevel="0" collapsed="false">
      <c r="A250" s="13" t="n">
        <v>45585.7574680208</v>
      </c>
      <c r="B250" s="13" t="n">
        <v>45585.7575905556</v>
      </c>
      <c r="C250" s="18" t="n">
        <f aca="false">(B250-A250)</f>
        <v>0.000122534722222222</v>
      </c>
      <c r="D250" s="19" t="n">
        <f aca="false">CEILING(C250,"00:00:05")</f>
        <v>0.000173611111111111</v>
      </c>
      <c r="E250" s="54" t="n">
        <v>2</v>
      </c>
      <c r="F250" s="48" t="n">
        <v>0.000311770833333333</v>
      </c>
      <c r="G250" s="49" t="n">
        <v>1</v>
      </c>
    </row>
    <row r="251" customFormat="false" ht="15" hidden="false" customHeight="false" outlineLevel="0" collapsed="false">
      <c r="A251" s="13" t="n">
        <v>45585.7579202546</v>
      </c>
      <c r="B251" s="13" t="n">
        <v>45585.7580463079</v>
      </c>
      <c r="C251" s="18" t="n">
        <f aca="false">(B251-A251)</f>
        <v>0.000126053240740741</v>
      </c>
      <c r="D251" s="19" t="n">
        <f aca="false">CEILING(C251,"00:00:05")</f>
        <v>0.000173611111111111</v>
      </c>
      <c r="E251" s="54" t="n">
        <v>3</v>
      </c>
      <c r="F251" s="48" t="n">
        <v>0.000312118055555556</v>
      </c>
      <c r="G251" s="49" t="n">
        <v>1</v>
      </c>
    </row>
    <row r="252" customFormat="false" ht="15" hidden="false" customHeight="false" outlineLevel="0" collapsed="false">
      <c r="A252" s="13" t="n">
        <v>45585.7589269329</v>
      </c>
      <c r="B252" s="13" t="n">
        <v>45585.7592267708</v>
      </c>
      <c r="C252" s="18" t="n">
        <f aca="false">(B252-A252)</f>
        <v>0.000299837962962963</v>
      </c>
      <c r="D252" s="19" t="n">
        <f aca="false">CEILING(C252,"00:00:05")</f>
        <v>0.000347222222222222</v>
      </c>
      <c r="E252" s="54" t="s">
        <v>224</v>
      </c>
      <c r="F252" s="48" t="n">
        <v>0.00031369212962963</v>
      </c>
      <c r="G252" s="49" t="n">
        <v>1</v>
      </c>
    </row>
    <row r="253" customFormat="false" ht="15" hidden="false" customHeight="false" outlineLevel="0" collapsed="false">
      <c r="A253" s="13" t="n">
        <v>45585.8112684375</v>
      </c>
      <c r="B253" s="13" t="n">
        <v>45585.8113961458</v>
      </c>
      <c r="C253" s="18" t="n">
        <f aca="false">(B253-A253)</f>
        <v>0.000127708333333333</v>
      </c>
      <c r="D253" s="19" t="n">
        <f aca="false">CEILING(C253,"00:00:05")</f>
        <v>0.000173611111111111</v>
      </c>
      <c r="E253" s="54" t="s">
        <v>225</v>
      </c>
      <c r="F253" s="48" t="n">
        <v>0.000314606481481481</v>
      </c>
      <c r="G253" s="49" t="n">
        <v>1</v>
      </c>
    </row>
    <row r="254" customFormat="false" ht="15" hidden="false" customHeight="false" outlineLevel="0" collapsed="false">
      <c r="A254" s="13" t="n">
        <v>45585.812033287</v>
      </c>
      <c r="B254" s="13" t="n">
        <v>45585.8122246296</v>
      </c>
      <c r="C254" s="18" t="n">
        <f aca="false">(B254-A254)</f>
        <v>0.000191342592592593</v>
      </c>
      <c r="D254" s="19" t="n">
        <f aca="false">CEILING(C254,"00:00:05")</f>
        <v>0.000231481481481482</v>
      </c>
      <c r="E254" s="54" t="s">
        <v>226</v>
      </c>
      <c r="F254" s="48" t="n">
        <v>0.00031625</v>
      </c>
      <c r="G254" s="49" t="n">
        <v>1</v>
      </c>
    </row>
    <row r="255" customFormat="false" ht="15" hidden="false" customHeight="false" outlineLevel="0" collapsed="false">
      <c r="A255" s="13" t="n">
        <v>45585.8125123727</v>
      </c>
      <c r="B255" s="13" t="n">
        <v>45585.8126295255</v>
      </c>
      <c r="C255" s="18" t="n">
        <f aca="false">(B255-A255)</f>
        <v>0.000117152777777778</v>
      </c>
      <c r="D255" s="19" t="n">
        <f aca="false">CEILING(C255,"00:00:05")</f>
        <v>0.000173611111111111</v>
      </c>
      <c r="E255" s="54" t="n">
        <v>2</v>
      </c>
      <c r="F255" s="48" t="n">
        <v>0.000324189814814815</v>
      </c>
      <c r="G255" s="49" t="n">
        <v>1</v>
      </c>
    </row>
    <row r="256" customFormat="false" ht="15" hidden="false" customHeight="false" outlineLevel="0" collapsed="false">
      <c r="A256" s="13" t="n">
        <v>45585.8128019213</v>
      </c>
      <c r="B256" s="13" t="n">
        <v>45585.8129267824</v>
      </c>
      <c r="C256" s="18" t="n">
        <f aca="false">(B256-A256)</f>
        <v>0.000124861111111111</v>
      </c>
      <c r="D256" s="19" t="n">
        <f aca="false">CEILING(C256,"00:00:05")</f>
        <v>0.000173611111111111</v>
      </c>
      <c r="E256" s="54" t="n">
        <v>2</v>
      </c>
      <c r="F256" s="48" t="n">
        <v>0.000324293981481481</v>
      </c>
      <c r="G256" s="49" t="n">
        <v>1</v>
      </c>
    </row>
    <row r="257" customFormat="false" ht="15" hidden="false" customHeight="false" outlineLevel="0" collapsed="false">
      <c r="A257" s="13" t="n">
        <v>45585.8136014699</v>
      </c>
      <c r="B257" s="13" t="n">
        <v>45585.813777662</v>
      </c>
      <c r="C257" s="18" t="n">
        <f aca="false">(B257-A257)</f>
        <v>0.00017619212962963</v>
      </c>
      <c r="D257" s="19" t="n">
        <f aca="false">CEILING(C257,"00:00:05")</f>
        <v>0.000231481481481482</v>
      </c>
      <c r="E257" s="54" t="s">
        <v>227</v>
      </c>
      <c r="F257" s="48" t="n">
        <v>0.000329178240740741</v>
      </c>
      <c r="G257" s="49" t="n">
        <v>1</v>
      </c>
    </row>
    <row r="258" customFormat="false" ht="15" hidden="false" customHeight="false" outlineLevel="0" collapsed="false">
      <c r="A258" s="13" t="n">
        <v>45585.8143398264</v>
      </c>
      <c r="B258" s="13" t="n">
        <v>45585.8144653588</v>
      </c>
      <c r="C258" s="18" t="n">
        <f aca="false">(B258-A258)</f>
        <v>0.000125532407407407</v>
      </c>
      <c r="D258" s="19" t="n">
        <f aca="false">CEILING(C258,"00:00:05")</f>
        <v>0.000173611111111111</v>
      </c>
      <c r="E258" s="54" t="s">
        <v>228</v>
      </c>
      <c r="F258" s="48" t="n">
        <v>0.000333194444444444</v>
      </c>
      <c r="G258" s="49" t="n">
        <v>1</v>
      </c>
    </row>
    <row r="259" customFormat="false" ht="15" hidden="false" customHeight="false" outlineLevel="0" collapsed="false">
      <c r="A259" s="13" t="n">
        <v>45585.8152386921</v>
      </c>
      <c r="B259" s="13" t="n">
        <v>45585.8154474306</v>
      </c>
      <c r="C259" s="18" t="n">
        <f aca="false">(B259-A259)</f>
        <v>0.000208738425925926</v>
      </c>
      <c r="D259" s="19" t="n">
        <f aca="false">CEILING(C259,"00:00:05")</f>
        <v>0.000231481481481482</v>
      </c>
      <c r="E259" s="54" t="n">
        <v>4</v>
      </c>
      <c r="F259" s="48" t="n">
        <v>0.000340486111111111</v>
      </c>
      <c r="G259" s="49" t="n">
        <v>1</v>
      </c>
    </row>
    <row r="260" customFormat="false" ht="15" hidden="false" customHeight="false" outlineLevel="0" collapsed="false">
      <c r="A260" s="13" t="n">
        <v>45585.8165698148</v>
      </c>
      <c r="B260" s="13" t="n">
        <v>45585.8166784144</v>
      </c>
      <c r="C260" s="18" t="n">
        <f aca="false">(B260-A260)</f>
        <v>0.000108599537037037</v>
      </c>
      <c r="D260" s="19" t="n">
        <f aca="false">CEILING(C260,"00:00:05")</f>
        <v>0.000115740740740741</v>
      </c>
      <c r="E260" s="54" t="s">
        <v>229</v>
      </c>
      <c r="F260" s="48" t="n">
        <v>0.000343912037037037</v>
      </c>
      <c r="G260" s="49" t="n">
        <v>1</v>
      </c>
    </row>
    <row r="261" customFormat="false" ht="15" hidden="false" customHeight="false" outlineLevel="0" collapsed="false">
      <c r="A261" s="13" t="n">
        <v>45585.8178063773</v>
      </c>
      <c r="B261" s="13" t="n">
        <v>45585.8179430903</v>
      </c>
      <c r="C261" s="18" t="n">
        <f aca="false">(B261-A261)</f>
        <v>0.000136712962962963</v>
      </c>
      <c r="D261" s="19" t="n">
        <f aca="false">CEILING(C261,"00:00:05")</f>
        <v>0.000173611111111111</v>
      </c>
      <c r="E261" s="54" t="s">
        <v>230</v>
      </c>
      <c r="F261" s="48" t="n">
        <v>0.000347858796296296</v>
      </c>
      <c r="G261" s="49" t="n">
        <v>1</v>
      </c>
    </row>
    <row r="262" customFormat="false" ht="15" hidden="false" customHeight="false" outlineLevel="0" collapsed="false">
      <c r="A262" s="13" t="n">
        <v>45585.8184651042</v>
      </c>
      <c r="B262" s="13" t="n">
        <v>45585.8185812153</v>
      </c>
      <c r="C262" s="18" t="n">
        <f aca="false">(B262-A262)</f>
        <v>0.000116111111111111</v>
      </c>
      <c r="D262" s="19" t="n">
        <f aca="false">CEILING(C262,"00:00:05")</f>
        <v>0.000173611111111111</v>
      </c>
      <c r="E262" s="54" t="s">
        <v>231</v>
      </c>
      <c r="F262" s="48" t="n">
        <v>0.000349768518518519</v>
      </c>
      <c r="G262" s="49" t="n">
        <v>1</v>
      </c>
    </row>
    <row r="263" customFormat="false" ht="15" hidden="false" customHeight="false" outlineLevel="0" collapsed="false">
      <c r="A263" s="13" t="n">
        <v>45585.8192772338</v>
      </c>
      <c r="B263" s="13" t="n">
        <v>45585.8195497222</v>
      </c>
      <c r="C263" s="18" t="n">
        <f aca="false">(B263-A263)</f>
        <v>0.000272488425925926</v>
      </c>
      <c r="D263" s="19" t="n">
        <f aca="false">CEILING(C263,"00:00:05")</f>
        <v>0.000289351851851852</v>
      </c>
      <c r="E263" s="54" t="s">
        <v>232</v>
      </c>
      <c r="F263" s="48" t="n">
        <v>0.000359710648148148</v>
      </c>
      <c r="G263" s="49" t="n">
        <v>1</v>
      </c>
    </row>
    <row r="264" customFormat="false" ht="15" hidden="false" customHeight="false" outlineLevel="0" collapsed="false">
      <c r="A264" s="13" t="n">
        <v>45585.8199989699</v>
      </c>
      <c r="B264" s="13" t="n">
        <v>45585.8201363657</v>
      </c>
      <c r="C264" s="18" t="n">
        <f aca="false">(B264-A264)</f>
        <v>0.000137395833333333</v>
      </c>
      <c r="D264" s="19" t="n">
        <f aca="false">CEILING(C264,"00:00:05")</f>
        <v>0.000173611111111111</v>
      </c>
      <c r="E264" s="54" t="s">
        <v>233</v>
      </c>
      <c r="F264" s="48" t="n">
        <v>0.000365347222222222</v>
      </c>
      <c r="G264" s="49" t="n">
        <v>1</v>
      </c>
    </row>
    <row r="265" customFormat="false" ht="15" hidden="false" customHeight="false" outlineLevel="0" collapsed="false">
      <c r="A265" s="13" t="n">
        <v>45585.8205040509</v>
      </c>
      <c r="B265" s="13" t="n">
        <v>45585.8206081713</v>
      </c>
      <c r="C265" s="18" t="n">
        <f aca="false">(B265-A265)</f>
        <v>0.00010412037037037</v>
      </c>
      <c r="D265" s="19" t="n">
        <f aca="false">CEILING(C265,"00:00:05")</f>
        <v>0.000115740740740741</v>
      </c>
      <c r="E265" s="54" t="s">
        <v>234</v>
      </c>
      <c r="F265" s="48" t="n">
        <v>0.000365914351851852</v>
      </c>
      <c r="G265" s="49" t="n">
        <v>1</v>
      </c>
    </row>
    <row r="266" customFormat="false" ht="15" hidden="false" customHeight="false" outlineLevel="0" collapsed="false">
      <c r="A266" s="13" t="n">
        <v>45585.8207578819</v>
      </c>
      <c r="B266" s="13" t="n">
        <v>45585.8209512384</v>
      </c>
      <c r="C266" s="18" t="n">
        <f aca="false">(B266-A266)</f>
        <v>0.000193356481481481</v>
      </c>
      <c r="D266" s="19" t="n">
        <f aca="false">CEILING(C266,"00:00:05")</f>
        <v>0.000231481481481482</v>
      </c>
      <c r="E266" s="54" t="n">
        <v>4</v>
      </c>
      <c r="F266" s="48" t="n">
        <v>0.000370613425925926</v>
      </c>
      <c r="G266" s="49" t="n">
        <v>1</v>
      </c>
    </row>
    <row r="267" customFormat="false" ht="15" hidden="false" customHeight="false" outlineLevel="0" collapsed="false">
      <c r="F267" s="48" t="n">
        <v>0.000374571759259259</v>
      </c>
      <c r="G267" s="49" t="n">
        <v>1</v>
      </c>
    </row>
    <row r="268" customFormat="false" ht="15" hidden="false" customHeight="false" outlineLevel="0" collapsed="false">
      <c r="F268" s="48" t="n">
        <v>0.000376863425925926</v>
      </c>
      <c r="G268" s="49" t="n">
        <v>1</v>
      </c>
    </row>
    <row r="269" customFormat="false" ht="15" hidden="false" customHeight="false" outlineLevel="0" collapsed="false">
      <c r="F269" s="48" t="n">
        <v>0.0003859490625</v>
      </c>
      <c r="G269" s="49" t="n">
        <v>1</v>
      </c>
    </row>
    <row r="270" customFormat="false" ht="15" hidden="false" customHeight="false" outlineLevel="0" collapsed="false">
      <c r="F270" s="48" t="n">
        <v>0.000388206018518518</v>
      </c>
      <c r="G270" s="49" t="n">
        <v>1</v>
      </c>
    </row>
    <row r="271" customFormat="false" ht="15" hidden="false" customHeight="false" outlineLevel="0" collapsed="false">
      <c r="F271" s="48" t="n">
        <v>0.000388298611111111</v>
      </c>
      <c r="G271" s="49" t="n">
        <v>1</v>
      </c>
    </row>
    <row r="272" customFormat="false" ht="15" hidden="false" customHeight="false" outlineLevel="0" collapsed="false">
      <c r="F272" s="48" t="n">
        <v>0.000392696759259259</v>
      </c>
      <c r="G272" s="49" t="n">
        <v>1</v>
      </c>
    </row>
    <row r="273" customFormat="false" ht="15" hidden="false" customHeight="false" outlineLevel="0" collapsed="false">
      <c r="F273" s="48" t="n">
        <v>0.000394421296296296</v>
      </c>
      <c r="G273" s="49" t="n">
        <v>1</v>
      </c>
    </row>
    <row r="274" customFormat="false" ht="15" hidden="false" customHeight="false" outlineLevel="0" collapsed="false">
      <c r="F274" s="48" t="n">
        <v>0.000396388888888889</v>
      </c>
      <c r="G274" s="49" t="n">
        <v>1</v>
      </c>
    </row>
    <row r="275" customFormat="false" ht="15" hidden="false" customHeight="false" outlineLevel="0" collapsed="false">
      <c r="F275" s="48" t="n">
        <v>0.000402534722222222</v>
      </c>
      <c r="G275" s="49" t="n">
        <v>1</v>
      </c>
    </row>
    <row r="276" customFormat="false" ht="15" hidden="false" customHeight="false" outlineLevel="0" collapsed="false">
      <c r="F276" s="48" t="n">
        <v>0.000412766203703704</v>
      </c>
      <c r="G276" s="49" t="n">
        <v>1</v>
      </c>
    </row>
    <row r="277" customFormat="false" ht="15" hidden="false" customHeight="false" outlineLevel="0" collapsed="false">
      <c r="F277" s="48" t="n">
        <v>0.000442453703703704</v>
      </c>
      <c r="G277" s="49" t="n">
        <v>1</v>
      </c>
    </row>
    <row r="278" customFormat="false" ht="15" hidden="false" customHeight="false" outlineLevel="0" collapsed="false">
      <c r="F278" s="48" t="n">
        <v>0.000485844907407407</v>
      </c>
      <c r="G278" s="49" t="n">
        <v>1</v>
      </c>
    </row>
    <row r="279" customFormat="false" ht="15" hidden="false" customHeight="false" outlineLevel="0" collapsed="false">
      <c r="F279" s="48" t="n">
        <v>0.000487511574074074</v>
      </c>
      <c r="G279" s="49" t="n">
        <v>1</v>
      </c>
    </row>
    <row r="280" customFormat="false" ht="15" hidden="false" customHeight="false" outlineLevel="0" collapsed="false">
      <c r="F280" s="48" t="n">
        <v>0.000491446759259259</v>
      </c>
      <c r="G280" s="49" t="n">
        <v>1</v>
      </c>
    </row>
    <row r="281" customFormat="false" ht="15" hidden="false" customHeight="false" outlineLevel="0" collapsed="false">
      <c r="F281" s="48" t="n">
        <v>0.000518877314814815</v>
      </c>
      <c r="G281" s="49" t="n">
        <v>1</v>
      </c>
    </row>
    <row r="282" customFormat="false" ht="15" hidden="false" customHeight="false" outlineLevel="0" collapsed="false">
      <c r="F282" s="48" t="n">
        <v>0.000521597222222222</v>
      </c>
      <c r="G282" s="49" t="n">
        <v>1</v>
      </c>
    </row>
    <row r="283" customFormat="false" ht="15" hidden="false" customHeight="false" outlineLevel="0" collapsed="false">
      <c r="F283" s="48" t="n">
        <v>0.000566273148148148</v>
      </c>
      <c r="G283" s="49" t="n">
        <v>1</v>
      </c>
    </row>
    <row r="284" customFormat="false" ht="15" hidden="false" customHeight="false" outlineLevel="0" collapsed="false">
      <c r="F284" s="48" t="n">
        <v>0.000585902777777778</v>
      </c>
      <c r="G284" s="49" t="n">
        <v>1</v>
      </c>
    </row>
    <row r="285" customFormat="false" ht="15" hidden="false" customHeight="false" outlineLevel="0" collapsed="false">
      <c r="F285" s="48" t="n">
        <v>0.000589571759259259</v>
      </c>
      <c r="G285" s="49" t="n">
        <v>1</v>
      </c>
    </row>
    <row r="286" customFormat="false" ht="15" hidden="false" customHeight="false" outlineLevel="0" collapsed="false">
      <c r="F286" s="48" t="n">
        <v>0.000645902766203704</v>
      </c>
      <c r="G286" s="49" t="n">
        <v>1</v>
      </c>
    </row>
    <row r="287" customFormat="false" ht="15" hidden="false" customHeight="false" outlineLevel="0" collapsed="false">
      <c r="F287" s="48" t="n">
        <v>0.000805717592592593</v>
      </c>
      <c r="G287" s="49" t="n">
        <v>1</v>
      </c>
    </row>
    <row r="288" customFormat="false" ht="15" hidden="false" customHeight="false" outlineLevel="0" collapsed="false">
      <c r="F288" s="48" t="n">
        <v>0.000821412037037037</v>
      </c>
      <c r="G288" s="49" t="n">
        <v>1</v>
      </c>
    </row>
    <row r="289" customFormat="false" ht="15" hidden="false" customHeight="false" outlineLevel="0" collapsed="false">
      <c r="F289" s="48" t="n">
        <v>0.00101331018518519</v>
      </c>
      <c r="G289" s="49" t="n">
        <v>1</v>
      </c>
    </row>
    <row r="290" customFormat="false" ht="15" hidden="false" customHeight="false" outlineLevel="0" collapsed="false">
      <c r="F290" s="48" t="n">
        <v>0.00103039351851852</v>
      </c>
      <c r="G290" s="49" t="n">
        <v>1</v>
      </c>
    </row>
    <row r="291" customFormat="false" ht="15" hidden="false" customHeight="false" outlineLevel="0" collapsed="false">
      <c r="F291" s="48" t="n">
        <v>0.00129134259259259</v>
      </c>
      <c r="G291" s="49" t="n">
        <v>1</v>
      </c>
    </row>
    <row r="292" customFormat="false" ht="15" hidden="false" customHeight="false" outlineLevel="0" collapsed="false">
      <c r="F292" s="48" t="n">
        <v>0.00186929398148148</v>
      </c>
      <c r="G292" s="56" t="n">
        <v>1</v>
      </c>
    </row>
    <row r="293" customFormat="false" ht="15" hidden="false" customHeight="false" outlineLevel="0" collapsed="false">
      <c r="F293" s="57" t="s">
        <v>235</v>
      </c>
      <c r="G293" s="58" t="n">
        <v>264</v>
      </c>
    </row>
  </sheetData>
  <conditionalFormatting sqref="E74:E75 E94">
    <cfRule type="expression" priority="2" aboveAverage="0" equalAverage="0" bottom="0" percent="0" rank="0" text="" dxfId="0">
      <formula>$O74="agent"</formula>
    </cfRule>
  </conditionalFormatting>
  <conditionalFormatting sqref="E76 E96">
    <cfRule type="expression" priority="3" aboveAverage="0" equalAverage="0" bottom="0" percent="0" rank="0" text="" dxfId="1">
      <formula>$O78="agent"</formula>
    </cfRule>
  </conditionalFormatting>
  <conditionalFormatting sqref="E77 E97">
    <cfRule type="expression" priority="4" aboveAverage="0" equalAverage="0" bottom="0" percent="0" rank="0" text="" dxfId="2">
      <formula>$O80="agent"</formula>
    </cfRule>
  </conditionalFormatting>
  <conditionalFormatting sqref="E78 E98">
    <cfRule type="expression" priority="5" aboveAverage="0" equalAverage="0" bottom="0" percent="0" rank="0" text="" dxfId="3">
      <formula>$O82="agent"</formula>
    </cfRule>
  </conditionalFormatting>
  <conditionalFormatting sqref="E79 E99">
    <cfRule type="expression" priority="6" aboveAverage="0" equalAverage="0" bottom="0" percent="0" rank="0" text="" dxfId="4">
      <formula>$O84="agent"</formula>
    </cfRule>
  </conditionalFormatting>
  <conditionalFormatting sqref="E80 E100">
    <cfRule type="expression" priority="7" aboveAverage="0" equalAverage="0" bottom="0" percent="0" rank="0" text="" dxfId="5">
      <formula>$O86="agent"</formula>
    </cfRule>
  </conditionalFormatting>
  <conditionalFormatting sqref="E81 E101">
    <cfRule type="expression" priority="8" aboveAverage="0" equalAverage="0" bottom="0" percent="0" rank="0" text="" dxfId="6">
      <formula>$O88="agent"</formula>
    </cfRule>
  </conditionalFormatting>
  <conditionalFormatting sqref="E82 E102">
    <cfRule type="expression" priority="9" aboveAverage="0" equalAverage="0" bottom="0" percent="0" rank="0" text="" dxfId="7">
      <formula>$O90="agent"</formula>
    </cfRule>
  </conditionalFormatting>
  <conditionalFormatting sqref="E83 E103">
    <cfRule type="expression" priority="10" aboveAverage="0" equalAverage="0" bottom="0" percent="0" rank="0" text="" dxfId="8">
      <formula>$O92="agent"</formula>
    </cfRule>
  </conditionalFormatting>
  <conditionalFormatting sqref="E84 E104">
    <cfRule type="expression" priority="11" aboveAverage="0" equalAverage="0" bottom="0" percent="0" rank="0" text="" dxfId="9">
      <formula>$O94="agent"</formula>
    </cfRule>
  </conditionalFormatting>
  <conditionalFormatting sqref="E85 E105">
    <cfRule type="expression" priority="12" aboveAverage="0" equalAverage="0" bottom="0" percent="0" rank="0" text="" dxfId="10">
      <formula>$O96="agent"</formula>
    </cfRule>
  </conditionalFormatting>
  <conditionalFormatting sqref="E86 E106">
    <cfRule type="expression" priority="13" aboveAverage="0" equalAverage="0" bottom="0" percent="0" rank="0" text="" dxfId="11">
      <formula>$O98="agent"</formula>
    </cfRule>
  </conditionalFormatting>
  <conditionalFormatting sqref="E87 E107">
    <cfRule type="expression" priority="14" aboveAverage="0" equalAverage="0" bottom="0" percent="0" rank="0" text="" dxfId="12">
      <formula>$O100="agent"</formula>
    </cfRule>
  </conditionalFormatting>
  <conditionalFormatting sqref="E88 E108">
    <cfRule type="expression" priority="15" aboveAverage="0" equalAverage="0" bottom="0" percent="0" rank="0" text="" dxfId="13">
      <formula>$O102="agent"</formula>
    </cfRule>
  </conditionalFormatting>
  <conditionalFormatting sqref="E89 E109">
    <cfRule type="expression" priority="16" aboveAverage="0" equalAverage="0" bottom="0" percent="0" rank="0" text="" dxfId="14">
      <formula>$O104="agent"</formula>
    </cfRule>
  </conditionalFormatting>
  <conditionalFormatting sqref="E90">
    <cfRule type="expression" priority="17" aboveAverage="0" equalAverage="0" bottom="0" percent="0" rank="0" text="" dxfId="15">
      <formula>$O106="agent"</formula>
    </cfRule>
  </conditionalFormatting>
  <conditionalFormatting sqref="E91">
    <cfRule type="expression" priority="18" aboveAverage="0" equalAverage="0" bottom="0" percent="0" rank="0" text="" dxfId="16">
      <formula>$O108="agent"</formula>
    </cfRule>
  </conditionalFormatting>
  <conditionalFormatting sqref="E92">
    <cfRule type="expression" priority="19" aboveAverage="0" equalAverage="0" bottom="0" percent="0" rank="0" text="" dxfId="17">
      <formula>$O110="agent"</formula>
    </cfRule>
  </conditionalFormatting>
  <conditionalFormatting sqref="E93">
    <cfRule type="expression" priority="20" aboveAverage="0" equalAverage="0" bottom="0" percent="0" rank="0" text="" dxfId="18">
      <formula>$O112="agent"</formula>
    </cfRule>
  </conditionalFormatting>
  <conditionalFormatting sqref="E95">
    <cfRule type="expression" priority="21" aboveAverage="0" equalAverage="0" bottom="0" percent="0" rank="0" text="" dxfId="19">
      <formula>$O96="agent"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1"/>
  <sheetViews>
    <sheetView showFormulas="false" showGridLines="true" showRowColHeaders="true" showZeros="true" rightToLeft="false" tabSelected="false" showOutlineSymbols="true" defaultGridColor="true" view="normal" topLeftCell="Q1" colorId="64" zoomScale="100" zoomScaleNormal="100" zoomScalePageLayoutView="100" workbookViewId="0">
      <selection pane="topLeft" activeCell="R48" activeCellId="0" sqref="R48"/>
    </sheetView>
  </sheetViews>
  <sheetFormatPr defaultColWidth="8.57421875" defaultRowHeight="15" zeroHeight="false" outlineLevelRow="0" outlineLevelCol="0"/>
  <cols>
    <col collapsed="false" customWidth="true" hidden="false" outlineLevel="0" max="1" min="1" style="0" width="3.14"/>
    <col collapsed="false" customWidth="true" hidden="false" outlineLevel="0" max="2" min="2" style="0" width="18.14"/>
    <col collapsed="false" customWidth="true" hidden="false" outlineLevel="0" max="3" min="3" style="0" width="9"/>
    <col collapsed="false" customWidth="true" hidden="false" outlineLevel="0" max="4" min="4" style="0" width="13.43"/>
    <col collapsed="false" customWidth="true" hidden="false" outlineLevel="0" max="5" min="5" style="0" width="24"/>
    <col collapsed="false" customWidth="true" hidden="false" outlineLevel="0" max="6" min="6" style="0" width="21.14"/>
    <col collapsed="false" customWidth="true" hidden="false" outlineLevel="0" max="7" min="7" style="0" width="26.14"/>
    <col collapsed="false" customWidth="true" hidden="false" outlineLevel="0" max="8" min="8" style="0" width="11"/>
    <col collapsed="false" customWidth="true" hidden="false" outlineLevel="0" max="9" min="9" style="0" width="9.86"/>
    <col collapsed="false" customWidth="true" hidden="false" outlineLevel="0" max="18" min="18" style="0" width="17"/>
    <col collapsed="false" customWidth="true" hidden="false" outlineLevel="0" max="19" min="19" style="0" width="68.43"/>
    <col collapsed="false" customWidth="true" hidden="false" outlineLevel="0" max="20" min="20" style="0" width="18"/>
    <col collapsed="false" customWidth="true" hidden="false" outlineLevel="0" max="21" min="21" style="0" width="7.71"/>
    <col collapsed="false" customWidth="true" hidden="false" outlineLevel="0" max="22" min="22" style="0" width="4.57"/>
    <col collapsed="false" customWidth="true" hidden="false" outlineLevel="0" max="23" min="23" style="0" width="10.71"/>
    <col collapsed="false" customWidth="true" hidden="false" outlineLevel="0" max="24" min="24" style="0" width="26.86"/>
    <col collapsed="false" customWidth="true" hidden="false" outlineLevel="0" max="25" min="25" style="0" width="28.86"/>
    <col collapsed="false" customWidth="true" hidden="false" outlineLevel="0" max="26" min="26" style="59" width="32"/>
  </cols>
  <sheetData>
    <row r="1" customFormat="false" ht="15" hidden="false" customHeight="false" outlineLevel="0" collapsed="false">
      <c r="A1" s="60" t="s">
        <v>236</v>
      </c>
      <c r="B1" s="61"/>
      <c r="C1" s="61"/>
      <c r="D1" s="61"/>
      <c r="E1" s="61"/>
      <c r="F1" s="61"/>
      <c r="G1" s="62" t="s">
        <v>237</v>
      </c>
      <c r="H1" s="62"/>
      <c r="I1" s="62"/>
      <c r="J1" s="62"/>
      <c r="K1" s="62"/>
    </row>
    <row r="2" s="63" customFormat="true" ht="15" hidden="false" customHeight="false" outlineLevel="0" collapsed="false">
      <c r="A2" s="63" t="s">
        <v>238</v>
      </c>
      <c r="B2" s="63" t="s">
        <v>239</v>
      </c>
      <c r="C2" s="63" t="s">
        <v>240</v>
      </c>
      <c r="D2" s="63" t="s">
        <v>241</v>
      </c>
      <c r="E2" s="63" t="s">
        <v>242</v>
      </c>
      <c r="F2" s="63" t="s">
        <v>243</v>
      </c>
      <c r="G2" s="63" t="s">
        <v>244</v>
      </c>
      <c r="H2" s="63" t="s">
        <v>245</v>
      </c>
      <c r="I2" s="63" t="s">
        <v>246</v>
      </c>
      <c r="J2" s="63" t="s">
        <v>247</v>
      </c>
      <c r="K2" s="63" t="s">
        <v>248</v>
      </c>
      <c r="L2" s="63" t="s">
        <v>249</v>
      </c>
      <c r="M2" s="63" t="s">
        <v>250</v>
      </c>
      <c r="N2" s="63" t="s">
        <v>251</v>
      </c>
      <c r="O2" s="63" t="s">
        <v>252</v>
      </c>
      <c r="P2" s="63" t="s">
        <v>253</v>
      </c>
      <c r="Q2" s="63" t="s">
        <v>254</v>
      </c>
      <c r="R2" s="63" t="s">
        <v>255</v>
      </c>
      <c r="S2" s="64" t="s">
        <v>256</v>
      </c>
      <c r="T2" s="63" t="s">
        <v>257</v>
      </c>
      <c r="U2" s="63" t="s">
        <v>258</v>
      </c>
      <c r="V2" s="63" t="s">
        <v>259</v>
      </c>
      <c r="W2" s="63" t="s">
        <v>260</v>
      </c>
      <c r="X2" s="63" t="s">
        <v>261</v>
      </c>
      <c r="Y2" s="63" t="s">
        <v>262</v>
      </c>
      <c r="Z2" s="64" t="s">
        <v>263</v>
      </c>
      <c r="AA2" s="63" t="s">
        <v>264</v>
      </c>
    </row>
    <row r="3" customFormat="false" ht="26.1" hidden="false" customHeight="false" outlineLevel="0" collapsed="false">
      <c r="A3" s="0" t="n">
        <v>2</v>
      </c>
      <c r="B3" s="0" t="s">
        <v>265</v>
      </c>
      <c r="C3" s="0" t="n">
        <v>4</v>
      </c>
      <c r="D3" s="0" t="s">
        <v>266</v>
      </c>
      <c r="E3" s="0" t="n">
        <v>1885224814</v>
      </c>
      <c r="F3" s="0" t="s">
        <v>267</v>
      </c>
      <c r="G3" s="0" t="s">
        <v>265</v>
      </c>
      <c r="H3" s="0" t="n">
        <v>5</v>
      </c>
      <c r="I3" s="0" t="n">
        <v>5</v>
      </c>
      <c r="J3" s="0" t="n">
        <v>5</v>
      </c>
      <c r="K3" s="0" t="n">
        <v>5</v>
      </c>
      <c r="L3" s="0" t="n">
        <v>5</v>
      </c>
      <c r="M3" s="0" t="n">
        <v>5</v>
      </c>
      <c r="N3" s="0" t="n">
        <v>5</v>
      </c>
      <c r="O3" s="0" t="n">
        <v>5</v>
      </c>
      <c r="P3" s="0" t="n">
        <v>5</v>
      </c>
      <c r="Q3" s="0" t="n">
        <v>5</v>
      </c>
      <c r="R3" s="0" t="n">
        <v>5</v>
      </c>
      <c r="S3" s="59" t="s">
        <v>268</v>
      </c>
      <c r="T3" s="0" t="n">
        <v>5</v>
      </c>
      <c r="U3" s="0" t="n">
        <v>1</v>
      </c>
      <c r="V3" s="0" t="n">
        <v>31</v>
      </c>
      <c r="W3" s="0" t="s">
        <v>269</v>
      </c>
      <c r="X3" s="0" t="s">
        <v>270</v>
      </c>
      <c r="Y3" s="0" t="s">
        <v>271</v>
      </c>
      <c r="Z3" s="59" t="s">
        <v>272</v>
      </c>
      <c r="AA3" s="0" t="s">
        <v>273</v>
      </c>
    </row>
    <row r="4" customFormat="false" ht="76.1" hidden="false" customHeight="false" outlineLevel="0" collapsed="false">
      <c r="A4" s="0" t="n">
        <v>3</v>
      </c>
      <c r="B4" s="0" t="s">
        <v>274</v>
      </c>
      <c r="C4" s="0" t="n">
        <v>4</v>
      </c>
      <c r="D4" s="0" t="s">
        <v>275</v>
      </c>
      <c r="E4" s="0" t="n">
        <v>1992059185</v>
      </c>
      <c r="F4" s="0" t="s">
        <v>276</v>
      </c>
      <c r="G4" s="0" t="s">
        <v>274</v>
      </c>
      <c r="H4" s="0" t="n">
        <v>5</v>
      </c>
      <c r="I4" s="0" t="n">
        <v>5</v>
      </c>
      <c r="J4" s="0" t="n">
        <v>5</v>
      </c>
      <c r="K4" s="0" t="n">
        <v>4</v>
      </c>
      <c r="L4" s="0" t="n">
        <v>5</v>
      </c>
      <c r="M4" s="0" t="n">
        <v>3</v>
      </c>
      <c r="N4" s="0" t="n">
        <v>4</v>
      </c>
      <c r="O4" s="0" t="n">
        <v>2</v>
      </c>
      <c r="P4" s="0" t="n">
        <v>4</v>
      </c>
      <c r="Q4" s="0" t="n">
        <v>3</v>
      </c>
      <c r="R4" s="0" t="n">
        <v>5</v>
      </c>
      <c r="S4" s="59" t="s">
        <v>277</v>
      </c>
      <c r="T4" s="0" t="n">
        <v>5</v>
      </c>
      <c r="U4" s="0" t="n">
        <v>4</v>
      </c>
      <c r="V4" s="0" t="n">
        <v>34</v>
      </c>
      <c r="W4" s="0" t="s">
        <v>278</v>
      </c>
      <c r="X4" s="0" t="s">
        <v>279</v>
      </c>
      <c r="Y4" s="0" t="s">
        <v>280</v>
      </c>
      <c r="AA4" s="0" t="s">
        <v>281</v>
      </c>
    </row>
    <row r="5" customFormat="false" ht="15" hidden="false" customHeight="false" outlineLevel="0" collapsed="false">
      <c r="A5" s="0" t="n">
        <v>4</v>
      </c>
      <c r="B5" s="0" t="s">
        <v>282</v>
      </c>
      <c r="C5" s="0" t="n">
        <v>4</v>
      </c>
      <c r="D5" s="0" t="s">
        <v>275</v>
      </c>
      <c r="E5" s="0" t="n">
        <v>1827158114</v>
      </c>
      <c r="F5" s="0" t="s">
        <v>283</v>
      </c>
      <c r="G5" s="0" t="s">
        <v>284</v>
      </c>
      <c r="H5" s="0" t="n">
        <v>5</v>
      </c>
      <c r="I5" s="0" t="n">
        <v>5</v>
      </c>
      <c r="J5" s="0" t="n">
        <v>5</v>
      </c>
      <c r="K5" s="0" t="n">
        <v>5</v>
      </c>
      <c r="L5" s="0" t="n">
        <v>5</v>
      </c>
      <c r="M5" s="0" t="n">
        <v>5</v>
      </c>
      <c r="N5" s="0" t="n">
        <v>5</v>
      </c>
      <c r="O5" s="0" t="n">
        <v>5</v>
      </c>
      <c r="P5" s="0" t="n">
        <v>5</v>
      </c>
      <c r="Q5" s="0" t="n">
        <v>5</v>
      </c>
      <c r="R5" s="0" t="n">
        <v>5</v>
      </c>
      <c r="S5" s="59" t="s">
        <v>285</v>
      </c>
      <c r="T5" s="0" t="n">
        <v>5</v>
      </c>
      <c r="U5" s="0" t="n">
        <v>3</v>
      </c>
      <c r="V5" s="0" t="n">
        <v>24</v>
      </c>
      <c r="W5" s="0" t="s">
        <v>278</v>
      </c>
      <c r="X5" s="0" t="s">
        <v>279</v>
      </c>
      <c r="Y5" s="0" t="s">
        <v>285</v>
      </c>
      <c r="Z5" s="59" t="s">
        <v>286</v>
      </c>
      <c r="AA5" s="0" t="s">
        <v>281</v>
      </c>
    </row>
    <row r="6" customFormat="false" ht="26.1" hidden="false" customHeight="false" outlineLevel="0" collapsed="false">
      <c r="A6" s="0" t="n">
        <v>5</v>
      </c>
      <c r="B6" s="0" t="s">
        <v>287</v>
      </c>
      <c r="C6" s="0" t="n">
        <v>4</v>
      </c>
      <c r="D6" s="0" t="s">
        <v>275</v>
      </c>
      <c r="E6" s="0" t="n">
        <v>1723420554</v>
      </c>
      <c r="F6" s="0" t="s">
        <v>288</v>
      </c>
      <c r="G6" s="0" t="s">
        <v>287</v>
      </c>
      <c r="H6" s="0" t="n">
        <v>5</v>
      </c>
      <c r="I6" s="0" t="n">
        <v>5</v>
      </c>
      <c r="J6" s="0" t="n">
        <v>4</v>
      </c>
      <c r="K6" s="0" t="n">
        <v>4</v>
      </c>
      <c r="L6" s="0" t="n">
        <v>4</v>
      </c>
      <c r="M6" s="0" t="n">
        <v>5</v>
      </c>
      <c r="N6" s="0" t="n">
        <v>4</v>
      </c>
      <c r="O6" s="0" t="n">
        <v>5</v>
      </c>
      <c r="P6" s="0" t="n">
        <v>5</v>
      </c>
      <c r="Q6" s="0" t="n">
        <v>4</v>
      </c>
      <c r="R6" s="0" t="n">
        <v>4</v>
      </c>
      <c r="S6" s="59" t="s">
        <v>289</v>
      </c>
      <c r="T6" s="0" t="n">
        <v>5</v>
      </c>
      <c r="U6" s="0" t="n">
        <v>3</v>
      </c>
      <c r="V6" s="0" t="n">
        <v>25</v>
      </c>
      <c r="W6" s="0" t="s">
        <v>278</v>
      </c>
      <c r="X6" s="0" t="s">
        <v>290</v>
      </c>
      <c r="Y6" s="0" t="s">
        <v>291</v>
      </c>
      <c r="Z6" s="59" t="s">
        <v>285</v>
      </c>
      <c r="AA6" s="0" t="s">
        <v>273</v>
      </c>
    </row>
    <row r="7" customFormat="false" ht="26.1" hidden="false" customHeight="false" outlineLevel="0" collapsed="false">
      <c r="A7" s="0" t="n">
        <v>6</v>
      </c>
      <c r="B7" s="0" t="s">
        <v>292</v>
      </c>
      <c r="C7" s="0" t="n">
        <v>4</v>
      </c>
      <c r="D7" s="0" t="s">
        <v>266</v>
      </c>
      <c r="E7" s="0" t="n">
        <v>1934991090</v>
      </c>
      <c r="F7" s="0" t="s">
        <v>293</v>
      </c>
      <c r="G7" s="0" t="s">
        <v>292</v>
      </c>
      <c r="H7" s="0" t="n">
        <v>1</v>
      </c>
      <c r="I7" s="0" t="n">
        <v>1</v>
      </c>
      <c r="J7" s="0" t="n">
        <v>1</v>
      </c>
      <c r="K7" s="0" t="n">
        <v>1</v>
      </c>
      <c r="L7" s="0" t="n">
        <v>1</v>
      </c>
      <c r="M7" s="0" t="n">
        <v>2</v>
      </c>
      <c r="N7" s="0" t="n">
        <v>2</v>
      </c>
      <c r="O7" s="0" t="n">
        <v>1</v>
      </c>
      <c r="P7" s="0" t="n">
        <v>1</v>
      </c>
      <c r="Q7" s="0" t="n">
        <v>1</v>
      </c>
      <c r="R7" s="0" t="n">
        <v>2</v>
      </c>
      <c r="S7" s="59" t="s">
        <v>294</v>
      </c>
      <c r="T7" s="0" t="n">
        <v>3</v>
      </c>
      <c r="U7" s="0" t="n">
        <v>2</v>
      </c>
      <c r="V7" s="0" t="n">
        <v>20</v>
      </c>
      <c r="W7" s="0" t="s">
        <v>295</v>
      </c>
      <c r="X7" s="0" t="s">
        <v>296</v>
      </c>
      <c r="Y7" s="0" t="s">
        <v>297</v>
      </c>
      <c r="AA7" s="0" t="s">
        <v>273</v>
      </c>
    </row>
    <row r="8" customFormat="false" ht="38.6" hidden="false" customHeight="false" outlineLevel="0" collapsed="false">
      <c r="A8" s="0" t="n">
        <v>9</v>
      </c>
      <c r="B8" s="0" t="s">
        <v>298</v>
      </c>
      <c r="C8" s="0" t="n">
        <v>4</v>
      </c>
      <c r="D8" s="0" t="s">
        <v>266</v>
      </c>
      <c r="E8" s="0" t="n">
        <v>945976960</v>
      </c>
      <c r="F8" s="0" t="s">
        <v>299</v>
      </c>
      <c r="G8" s="0" t="s">
        <v>298</v>
      </c>
      <c r="H8" s="0" t="n">
        <v>4</v>
      </c>
      <c r="I8" s="0" t="n">
        <v>5</v>
      </c>
      <c r="J8" s="0" t="n">
        <v>3</v>
      </c>
      <c r="K8" s="0" t="n">
        <v>4</v>
      </c>
      <c r="L8" s="0" t="n">
        <v>5</v>
      </c>
      <c r="M8" s="0" t="n">
        <v>4</v>
      </c>
      <c r="N8" s="0" t="n">
        <v>3</v>
      </c>
      <c r="O8" s="0" t="n">
        <v>3</v>
      </c>
      <c r="P8" s="0" t="n">
        <v>3</v>
      </c>
      <c r="Q8" s="0" t="n">
        <v>3</v>
      </c>
      <c r="R8" s="0" t="n">
        <v>3</v>
      </c>
      <c r="S8" s="59" t="s">
        <v>300</v>
      </c>
      <c r="T8" s="0" t="n">
        <v>4</v>
      </c>
      <c r="U8" s="0" t="n">
        <v>5</v>
      </c>
      <c r="V8" s="0" t="n">
        <v>19</v>
      </c>
      <c r="W8" s="0" t="s">
        <v>301</v>
      </c>
      <c r="X8" s="0" t="s">
        <v>302</v>
      </c>
      <c r="Y8" s="0" t="s">
        <v>290</v>
      </c>
      <c r="Z8" s="59" t="s">
        <v>303</v>
      </c>
      <c r="AA8" s="0" t="s">
        <v>281</v>
      </c>
    </row>
    <row r="9" customFormat="false" ht="38.6" hidden="false" customHeight="false" outlineLevel="0" collapsed="false">
      <c r="A9" s="0" t="n">
        <v>10</v>
      </c>
      <c r="B9" s="0" t="s">
        <v>304</v>
      </c>
      <c r="C9" s="0" t="n">
        <v>4</v>
      </c>
      <c r="D9" s="0" t="s">
        <v>275</v>
      </c>
      <c r="E9" s="0" t="n">
        <v>761253156</v>
      </c>
      <c r="F9" s="0" t="s">
        <v>305</v>
      </c>
      <c r="G9" s="0" t="s">
        <v>304</v>
      </c>
      <c r="H9" s="0" t="n">
        <v>4</v>
      </c>
      <c r="I9" s="0" t="n">
        <v>5</v>
      </c>
      <c r="J9" s="0" t="n">
        <v>4</v>
      </c>
      <c r="K9" s="0" t="n">
        <v>5</v>
      </c>
      <c r="L9" s="0" t="n">
        <v>4</v>
      </c>
      <c r="M9" s="0" t="n">
        <v>4</v>
      </c>
      <c r="N9" s="0" t="n">
        <v>5</v>
      </c>
      <c r="O9" s="0" t="n">
        <v>4</v>
      </c>
      <c r="P9" s="0" t="n">
        <v>4</v>
      </c>
      <c r="Q9" s="0" t="n">
        <v>3</v>
      </c>
      <c r="R9" s="0" t="n">
        <v>4</v>
      </c>
      <c r="S9" s="59" t="s">
        <v>306</v>
      </c>
      <c r="T9" s="0" t="n">
        <v>1</v>
      </c>
      <c r="U9" s="0" t="n">
        <v>1</v>
      </c>
      <c r="V9" s="0" t="n">
        <v>30</v>
      </c>
      <c r="W9" s="0" t="s">
        <v>307</v>
      </c>
      <c r="X9" s="0" t="s">
        <v>308</v>
      </c>
      <c r="Y9" s="0" t="s">
        <v>309</v>
      </c>
      <c r="Z9" s="59" t="n">
        <v>2</v>
      </c>
      <c r="AA9" s="0" t="s">
        <v>273</v>
      </c>
    </row>
    <row r="10" customFormat="false" ht="63.6" hidden="false" customHeight="false" outlineLevel="0" collapsed="false">
      <c r="A10" s="0" t="n">
        <v>12</v>
      </c>
      <c r="B10" s="0" t="s">
        <v>310</v>
      </c>
      <c r="C10" s="0" t="n">
        <v>4</v>
      </c>
      <c r="D10" s="0" t="s">
        <v>266</v>
      </c>
      <c r="E10" s="0" t="n">
        <v>2035673428</v>
      </c>
      <c r="F10" s="0" t="s">
        <v>311</v>
      </c>
      <c r="G10" s="0" t="s">
        <v>310</v>
      </c>
      <c r="H10" s="0" t="n">
        <v>4</v>
      </c>
      <c r="I10" s="0" t="n">
        <v>4</v>
      </c>
      <c r="J10" s="0" t="n">
        <v>4</v>
      </c>
      <c r="K10" s="0" t="n">
        <v>4</v>
      </c>
      <c r="L10" s="0" t="n">
        <v>4</v>
      </c>
      <c r="M10" s="0" t="n">
        <v>3</v>
      </c>
      <c r="N10" s="0" t="n">
        <v>3</v>
      </c>
      <c r="O10" s="0" t="n">
        <v>3</v>
      </c>
      <c r="P10" s="0" t="n">
        <v>3</v>
      </c>
      <c r="Q10" s="0" t="n">
        <v>4</v>
      </c>
      <c r="R10" s="0" t="n">
        <v>4</v>
      </c>
      <c r="S10" s="59" t="s">
        <v>312</v>
      </c>
      <c r="T10" s="0" t="n">
        <v>2</v>
      </c>
      <c r="U10" s="0" t="n">
        <v>2</v>
      </c>
      <c r="V10" s="0" t="n">
        <v>27</v>
      </c>
      <c r="W10" s="0" t="s">
        <v>269</v>
      </c>
      <c r="X10" s="0" t="s">
        <v>313</v>
      </c>
      <c r="Y10" s="0" t="s">
        <v>313</v>
      </c>
      <c r="Z10" s="59" t="s">
        <v>314</v>
      </c>
      <c r="AA10" s="0" t="s">
        <v>273</v>
      </c>
    </row>
    <row r="11" customFormat="false" ht="26.1" hidden="false" customHeight="false" outlineLevel="0" collapsed="false">
      <c r="A11" s="0" t="n">
        <v>15</v>
      </c>
      <c r="B11" s="0" t="s">
        <v>315</v>
      </c>
      <c r="C11" s="0" t="n">
        <v>4</v>
      </c>
      <c r="D11" s="0" t="s">
        <v>266</v>
      </c>
      <c r="E11" s="0" t="n">
        <v>1839618646</v>
      </c>
      <c r="F11" s="0" t="s">
        <v>316</v>
      </c>
      <c r="G11" s="0" t="s">
        <v>315</v>
      </c>
      <c r="H11" s="0" t="n">
        <v>5</v>
      </c>
      <c r="I11" s="0" t="n">
        <v>5</v>
      </c>
      <c r="J11" s="0" t="n">
        <v>5</v>
      </c>
      <c r="K11" s="0" t="n">
        <v>4</v>
      </c>
      <c r="L11" s="0" t="n">
        <v>4</v>
      </c>
      <c r="M11" s="0" t="n">
        <v>4</v>
      </c>
      <c r="N11" s="0" t="n">
        <v>4</v>
      </c>
      <c r="O11" s="0" t="n">
        <v>4</v>
      </c>
      <c r="P11" s="0" t="n">
        <v>4</v>
      </c>
      <c r="Q11" s="0" t="n">
        <v>5</v>
      </c>
      <c r="R11" s="0" t="n">
        <v>5</v>
      </c>
      <c r="S11" s="59" t="s">
        <v>317</v>
      </c>
      <c r="T11" s="0" t="n">
        <v>3</v>
      </c>
      <c r="U11" s="0" t="n">
        <v>3</v>
      </c>
      <c r="V11" s="0" t="n">
        <v>23</v>
      </c>
      <c r="W11" s="0" t="s">
        <v>318</v>
      </c>
      <c r="X11" s="0" t="s">
        <v>319</v>
      </c>
      <c r="Y11" s="0" t="s">
        <v>320</v>
      </c>
      <c r="Z11" s="59" t="s">
        <v>321</v>
      </c>
      <c r="AA11" s="0" t="s">
        <v>273</v>
      </c>
    </row>
    <row r="12" customFormat="false" ht="63.6" hidden="false" customHeight="false" outlineLevel="0" collapsed="false">
      <c r="A12" s="0" t="n">
        <v>17</v>
      </c>
      <c r="B12" s="0" t="s">
        <v>322</v>
      </c>
      <c r="C12" s="0" t="n">
        <v>4</v>
      </c>
      <c r="D12" s="0" t="s">
        <v>266</v>
      </c>
      <c r="E12" s="0" t="n">
        <v>1098243403</v>
      </c>
      <c r="F12" s="0" t="s">
        <v>323</v>
      </c>
      <c r="G12" s="0" t="s">
        <v>322</v>
      </c>
      <c r="H12" s="0" t="n">
        <v>5</v>
      </c>
      <c r="I12" s="0" t="n">
        <v>5</v>
      </c>
      <c r="J12" s="0" t="n">
        <v>5</v>
      </c>
      <c r="K12" s="0" t="n">
        <v>4</v>
      </c>
      <c r="L12" s="0" t="n">
        <v>5</v>
      </c>
      <c r="M12" s="0" t="n">
        <v>4</v>
      </c>
      <c r="N12" s="0" t="n">
        <v>4</v>
      </c>
      <c r="O12" s="0" t="n">
        <v>4</v>
      </c>
      <c r="P12" s="0" t="n">
        <v>5</v>
      </c>
      <c r="Q12" s="0" t="n">
        <v>4</v>
      </c>
      <c r="R12" s="0" t="n">
        <v>4</v>
      </c>
      <c r="S12" s="59" t="s">
        <v>324</v>
      </c>
      <c r="T12" s="0" t="n">
        <v>4</v>
      </c>
      <c r="U12" s="0" t="n">
        <v>3</v>
      </c>
      <c r="V12" s="0" t="n">
        <v>25</v>
      </c>
      <c r="W12" s="0" t="s">
        <v>325</v>
      </c>
      <c r="X12" s="0" t="s">
        <v>326</v>
      </c>
      <c r="Y12" s="0" t="s">
        <v>327</v>
      </c>
      <c r="AA12" s="0" t="s">
        <v>273</v>
      </c>
    </row>
    <row r="13" customFormat="false" ht="23.85" hidden="false" customHeight="false" outlineLevel="0" collapsed="false">
      <c r="A13" s="65" t="n">
        <v>1</v>
      </c>
      <c r="B13" s="65" t="s">
        <v>328</v>
      </c>
      <c r="C13" s="65" t="n">
        <v>4</v>
      </c>
      <c r="D13" s="65" t="s">
        <v>266</v>
      </c>
      <c r="E13" s="65" t="n">
        <v>1359551649</v>
      </c>
      <c r="F13" s="65" t="s">
        <v>329</v>
      </c>
      <c r="G13" s="65" t="s">
        <v>328</v>
      </c>
      <c r="H13" s="65" t="n">
        <v>3</v>
      </c>
      <c r="I13" s="65" t="n">
        <v>5</v>
      </c>
      <c r="J13" s="65" t="n">
        <v>3</v>
      </c>
      <c r="K13" s="65" t="n">
        <v>3</v>
      </c>
      <c r="L13" s="65" t="n">
        <v>4</v>
      </c>
      <c r="M13" s="65" t="n">
        <v>4</v>
      </c>
      <c r="N13" s="65" t="n">
        <v>4</v>
      </c>
      <c r="O13" s="65" t="n">
        <v>4</v>
      </c>
      <c r="P13" s="65" t="n">
        <v>3</v>
      </c>
      <c r="Q13" s="65" t="n">
        <v>5</v>
      </c>
      <c r="R13" s="65" t="n">
        <v>4</v>
      </c>
      <c r="S13" s="65" t="s">
        <v>330</v>
      </c>
      <c r="T13" s="65" t="n">
        <v>4</v>
      </c>
      <c r="U13" s="65" t="n">
        <v>3</v>
      </c>
      <c r="V13" s="65" t="n">
        <v>21</v>
      </c>
      <c r="W13" s="65" t="s">
        <v>331</v>
      </c>
      <c r="X13" s="65" t="s">
        <v>332</v>
      </c>
      <c r="Y13" s="65" t="s">
        <v>333</v>
      </c>
      <c r="Z13" s="65" t="s">
        <v>334</v>
      </c>
      <c r="AA13" s="65" t="s">
        <v>273</v>
      </c>
    </row>
    <row r="14" customFormat="false" ht="23.85" hidden="false" customHeight="false" outlineLevel="0" collapsed="false">
      <c r="A14" s="65" t="n">
        <v>2</v>
      </c>
      <c r="B14" s="65" t="s">
        <v>335</v>
      </c>
      <c r="C14" s="65" t="n">
        <v>4</v>
      </c>
      <c r="D14" s="65" t="s">
        <v>275</v>
      </c>
      <c r="E14" s="65" t="n">
        <v>1453328173</v>
      </c>
      <c r="F14" s="65" t="s">
        <v>336</v>
      </c>
      <c r="G14" s="65" t="s">
        <v>335</v>
      </c>
      <c r="H14" s="65" t="n">
        <v>5</v>
      </c>
      <c r="I14" s="65" t="n">
        <v>5</v>
      </c>
      <c r="J14" s="65" t="n">
        <v>5</v>
      </c>
      <c r="K14" s="65" t="n">
        <v>5</v>
      </c>
      <c r="L14" s="65" t="n">
        <v>5</v>
      </c>
      <c r="M14" s="65" t="n">
        <v>5</v>
      </c>
      <c r="N14" s="65" t="n">
        <v>5</v>
      </c>
      <c r="O14" s="65" t="n">
        <v>5</v>
      </c>
      <c r="P14" s="65" t="n">
        <v>5</v>
      </c>
      <c r="Q14" s="65" t="n">
        <v>5</v>
      </c>
      <c r="R14" s="65" t="n">
        <v>5</v>
      </c>
      <c r="S14" s="65" t="s">
        <v>337</v>
      </c>
      <c r="T14" s="65" t="n">
        <v>4</v>
      </c>
      <c r="U14" s="65" t="n">
        <v>5</v>
      </c>
      <c r="V14" s="65" t="n">
        <v>23</v>
      </c>
      <c r="W14" s="65" t="s">
        <v>338</v>
      </c>
      <c r="X14" s="65" t="s">
        <v>339</v>
      </c>
      <c r="Y14" s="65" t="s">
        <v>290</v>
      </c>
      <c r="Z14" s="65" t="n">
        <v>3</v>
      </c>
      <c r="AA14" s="65" t="s">
        <v>273</v>
      </c>
    </row>
    <row r="15" customFormat="false" ht="23.85" hidden="false" customHeight="false" outlineLevel="0" collapsed="false">
      <c r="A15" s="65" t="n">
        <v>3</v>
      </c>
      <c r="B15" s="65" t="s">
        <v>340</v>
      </c>
      <c r="C15" s="65" t="n">
        <v>4</v>
      </c>
      <c r="D15" s="65" t="s">
        <v>275</v>
      </c>
      <c r="E15" s="65" t="n">
        <v>1036014866</v>
      </c>
      <c r="F15" s="65" t="s">
        <v>341</v>
      </c>
      <c r="G15" s="65" t="s">
        <v>340</v>
      </c>
      <c r="H15" s="65" t="n">
        <v>5</v>
      </c>
      <c r="I15" s="65" t="n">
        <v>4</v>
      </c>
      <c r="J15" s="65" t="n">
        <v>4</v>
      </c>
      <c r="K15" s="65" t="n">
        <v>4</v>
      </c>
      <c r="L15" s="65" t="n">
        <v>5</v>
      </c>
      <c r="M15" s="65" t="n">
        <v>5</v>
      </c>
      <c r="N15" s="65" t="n">
        <v>4</v>
      </c>
      <c r="O15" s="65" t="n">
        <v>5</v>
      </c>
      <c r="P15" s="65" t="n">
        <v>5</v>
      </c>
      <c r="Q15" s="65" t="n">
        <v>3</v>
      </c>
      <c r="R15" s="65" t="n">
        <v>5</v>
      </c>
      <c r="S15" s="65" t="s">
        <v>342</v>
      </c>
      <c r="T15" s="65" t="n">
        <v>4</v>
      </c>
      <c r="U15" s="65" t="n">
        <v>3</v>
      </c>
      <c r="V15" s="65" t="n">
        <v>43</v>
      </c>
      <c r="W15" s="65" t="s">
        <v>307</v>
      </c>
      <c r="X15" s="65" t="s">
        <v>343</v>
      </c>
      <c r="Y15" s="65" t="s">
        <v>344</v>
      </c>
      <c r="Z15" s="65" t="n">
        <v>2</v>
      </c>
      <c r="AA15" s="65" t="s">
        <v>273</v>
      </c>
    </row>
    <row r="17" customFormat="false" ht="15" hidden="false" customHeight="false" outlineLevel="0" collapsed="false">
      <c r="G17" s="66"/>
      <c r="H17" s="67" t="s">
        <v>345</v>
      </c>
      <c r="I17" s="67" t="s">
        <v>346</v>
      </c>
      <c r="J17" s="67" t="s">
        <v>347</v>
      </c>
      <c r="K17" s="67" t="s">
        <v>348</v>
      </c>
      <c r="L17" s="67" t="s">
        <v>349</v>
      </c>
      <c r="M17" s="67" t="s">
        <v>350</v>
      </c>
      <c r="N17" s="67" t="s">
        <v>351</v>
      </c>
      <c r="O17" s="67" t="s">
        <v>352</v>
      </c>
      <c r="P17" s="67" t="s">
        <v>353</v>
      </c>
      <c r="Q17" s="67" t="s">
        <v>354</v>
      </c>
      <c r="R17" s="67" t="s">
        <v>355</v>
      </c>
      <c r="S17" s="66"/>
      <c r="T17" s="67" t="s">
        <v>356</v>
      </c>
      <c r="U17" s="67" t="s">
        <v>357</v>
      </c>
    </row>
    <row r="18" customFormat="false" ht="15" hidden="false" customHeight="false" outlineLevel="0" collapsed="false">
      <c r="G18" s="66" t="s">
        <v>358</v>
      </c>
      <c r="H18" s="66" t="n">
        <f aca="false">COUNTIF(H3:H15, 5)</f>
        <v>8</v>
      </c>
      <c r="I18" s="66" t="n">
        <f aca="false">COUNTIF(I3:I15, 5)</f>
        <v>10</v>
      </c>
      <c r="J18" s="66" t="n">
        <f aca="false">COUNTIF(J3:J15, 5)</f>
        <v>6</v>
      </c>
      <c r="K18" s="66" t="n">
        <f aca="false">COUNTIF(K3:K15, 5)</f>
        <v>4</v>
      </c>
      <c r="L18" s="66" t="n">
        <f aca="false">COUNTIF(L3:L15, 5)</f>
        <v>7</v>
      </c>
      <c r="M18" s="66" t="n">
        <f aca="false">COUNTIF(M3:M15, 5)</f>
        <v>5</v>
      </c>
      <c r="N18" s="66" t="n">
        <f aca="false">COUNTIF(N3:N15, 5)</f>
        <v>4</v>
      </c>
      <c r="O18" s="66" t="n">
        <f aca="false">COUNTIF(O3:O15, 5)</f>
        <v>5</v>
      </c>
      <c r="P18" s="66" t="n">
        <f aca="false">COUNTIF(P3:P15, 5)</f>
        <v>6</v>
      </c>
      <c r="Q18" s="66" t="n">
        <f aca="false">COUNTIF(Q3:Q15, 5)</f>
        <v>5</v>
      </c>
      <c r="R18" s="66" t="n">
        <f aca="false">COUNTIF(R3:R15, 5)</f>
        <v>6</v>
      </c>
      <c r="S18" s="66"/>
      <c r="T18" s="66" t="n">
        <f aca="false">COUNTIF(T3:T15, 5)</f>
        <v>4</v>
      </c>
      <c r="U18" s="66" t="n">
        <f aca="false">COUNTIF(U3:U15, 5)</f>
        <v>2</v>
      </c>
    </row>
    <row r="19" customFormat="false" ht="15" hidden="false" customHeight="false" outlineLevel="0" collapsed="false">
      <c r="G19" s="66" t="s">
        <v>359</v>
      </c>
      <c r="H19" s="66" t="n">
        <f aca="false">COUNTIF(H3:H15, 4)</f>
        <v>3</v>
      </c>
      <c r="I19" s="66" t="n">
        <f aca="false">COUNTIF(I3:I15, 4)</f>
        <v>2</v>
      </c>
      <c r="J19" s="66" t="n">
        <f aca="false">COUNTIF(J3:J15, 4)</f>
        <v>4</v>
      </c>
      <c r="K19" s="66" t="n">
        <f aca="false">COUNTIF(K3:K15, 4)</f>
        <v>7</v>
      </c>
      <c r="L19" s="66" t="n">
        <f aca="false">COUNTIF(L3:L15, 4)</f>
        <v>5</v>
      </c>
      <c r="M19" s="66" t="n">
        <f aca="false">COUNTIF(M3:M15, 4)</f>
        <v>5</v>
      </c>
      <c r="N19" s="66" t="n">
        <f aca="false">COUNTIF(N3:N15, 4)</f>
        <v>6</v>
      </c>
      <c r="O19" s="66" t="n">
        <f aca="false">COUNTIF(O3:O15, 4)</f>
        <v>4</v>
      </c>
      <c r="P19" s="66" t="n">
        <f aca="false">COUNTIF(P3:P15, 4)</f>
        <v>3</v>
      </c>
      <c r="Q19" s="66" t="n">
        <f aca="false">COUNTIF(Q3:Q15, 4)</f>
        <v>3</v>
      </c>
      <c r="R19" s="66" t="n">
        <f aca="false">COUNTIF(R3:R15, 4)</f>
        <v>5</v>
      </c>
      <c r="S19" s="66"/>
      <c r="T19" s="66" t="n">
        <f aca="false">COUNTIF(T3:T15, 4)</f>
        <v>5</v>
      </c>
      <c r="U19" s="66" t="n">
        <f aca="false">COUNTIF(U3:U15, 4)</f>
        <v>1</v>
      </c>
    </row>
    <row r="20" customFormat="false" ht="15" hidden="false" customHeight="false" outlineLevel="0" collapsed="false">
      <c r="G20" s="66" t="s">
        <v>360</v>
      </c>
      <c r="H20" s="66" t="n">
        <f aca="false">COUNTIF(H3:H15, 3)</f>
        <v>1</v>
      </c>
      <c r="I20" s="66" t="n">
        <f aca="false">COUNTIF(I3:I15, 3)</f>
        <v>0</v>
      </c>
      <c r="J20" s="66" t="n">
        <f aca="false">COUNTIF(J3:J15, 3)</f>
        <v>2</v>
      </c>
      <c r="K20" s="66" t="n">
        <f aca="false">COUNTIF(K3:K15, 3)</f>
        <v>1</v>
      </c>
      <c r="L20" s="66" t="n">
        <f aca="false">COUNTIF(L3:L15, 3)</f>
        <v>0</v>
      </c>
      <c r="M20" s="66" t="n">
        <f aca="false">COUNTIF(M3:M15, 3)</f>
        <v>2</v>
      </c>
      <c r="N20" s="66" t="n">
        <f aca="false">COUNTIF(N3:N15, 3)</f>
        <v>2</v>
      </c>
      <c r="O20" s="66" t="n">
        <f aca="false">COUNTIF(O3:O15, 3)</f>
        <v>2</v>
      </c>
      <c r="P20" s="66" t="n">
        <f aca="false">COUNTIF(P3:P15, 3)</f>
        <v>3</v>
      </c>
      <c r="Q20" s="66" t="n">
        <f aca="false">COUNTIF(Q3:Q15, 3)</f>
        <v>4</v>
      </c>
      <c r="R20" s="66" t="n">
        <f aca="false">COUNTIF(R3:R15, 3)</f>
        <v>1</v>
      </c>
      <c r="S20" s="66"/>
      <c r="T20" s="66" t="n">
        <f aca="false">COUNTIF(T3:T15, 3)</f>
        <v>2</v>
      </c>
      <c r="U20" s="66" t="n">
        <f aca="false">COUNTIF(U3:U15, 3)</f>
        <v>6</v>
      </c>
    </row>
    <row r="21" customFormat="false" ht="15" hidden="false" customHeight="false" outlineLevel="0" collapsed="false">
      <c r="G21" s="66" t="s">
        <v>361</v>
      </c>
      <c r="H21" s="66" t="n">
        <f aca="false">COUNTIF(H3:H15, 2)</f>
        <v>0</v>
      </c>
      <c r="I21" s="66" t="n">
        <f aca="false">COUNTIF(I3:I15, 2)</f>
        <v>0</v>
      </c>
      <c r="J21" s="66" t="n">
        <f aca="false">COUNTIF(J3:J15, 2)</f>
        <v>0</v>
      </c>
      <c r="K21" s="66" t="n">
        <f aca="false">COUNTIF(K3:K15, 2)</f>
        <v>0</v>
      </c>
      <c r="L21" s="66" t="n">
        <f aca="false">COUNTIF(L3:L15, 2)</f>
        <v>0</v>
      </c>
      <c r="M21" s="66" t="n">
        <f aca="false">COUNTIF(M3:M15, 2)</f>
        <v>1</v>
      </c>
      <c r="N21" s="66" t="n">
        <f aca="false">COUNTIF(N3:N15, 2)</f>
        <v>1</v>
      </c>
      <c r="O21" s="66" t="n">
        <f aca="false">COUNTIF(O3:O15, 2)</f>
        <v>1</v>
      </c>
      <c r="P21" s="66" t="n">
        <f aca="false">COUNTIF(P3:P15, 2)</f>
        <v>0</v>
      </c>
      <c r="Q21" s="66" t="n">
        <f aca="false">COUNTIF(Q3:Q15, 2)</f>
        <v>0</v>
      </c>
      <c r="R21" s="66" t="n">
        <f aca="false">COUNTIF(R3:R15, 2)</f>
        <v>1</v>
      </c>
      <c r="S21" s="66"/>
      <c r="T21" s="66" t="n">
        <f aca="false">COUNTIF(T3:T15, 2)</f>
        <v>1</v>
      </c>
      <c r="U21" s="66" t="n">
        <f aca="false">COUNTIF(U3:U15, 2)</f>
        <v>2</v>
      </c>
    </row>
    <row r="22" customFormat="false" ht="15" hidden="false" customHeight="false" outlineLevel="0" collapsed="false">
      <c r="G22" s="66" t="s">
        <v>362</v>
      </c>
      <c r="H22" s="66" t="n">
        <f aca="false">COUNTIF(H3:H15, 1)</f>
        <v>1</v>
      </c>
      <c r="I22" s="66" t="n">
        <f aca="false">COUNTIF(I3:I15, 1)</f>
        <v>1</v>
      </c>
      <c r="J22" s="66" t="n">
        <f aca="false">COUNTIF(J3:J15, 1)</f>
        <v>1</v>
      </c>
      <c r="K22" s="66" t="n">
        <f aca="false">COUNTIF(K3:K15, 1)</f>
        <v>1</v>
      </c>
      <c r="L22" s="66" t="n">
        <f aca="false">COUNTIF(L3:L15, 1)</f>
        <v>1</v>
      </c>
      <c r="M22" s="66" t="n">
        <f aca="false">COUNTIF(M3:M15, 1)</f>
        <v>0</v>
      </c>
      <c r="N22" s="66" t="n">
        <f aca="false">COUNTIF(N3:N15, 1)</f>
        <v>0</v>
      </c>
      <c r="O22" s="66" t="n">
        <f aca="false">COUNTIF(O3:O15, 1)</f>
        <v>1</v>
      </c>
      <c r="P22" s="66" t="n">
        <f aca="false">COUNTIF(P3:P15, 1)</f>
        <v>1</v>
      </c>
      <c r="Q22" s="66" t="n">
        <f aca="false">COUNTIF(Q3:Q15, 1)</f>
        <v>1</v>
      </c>
      <c r="R22" s="66" t="n">
        <f aca="false">COUNTIF(R3:R15, 1)</f>
        <v>0</v>
      </c>
      <c r="S22" s="66"/>
      <c r="T22" s="66" t="n">
        <f aca="false">COUNTIF(T3:T15, 1)</f>
        <v>1</v>
      </c>
      <c r="U22" s="66" t="n">
        <f aca="false">COUNTIF(U3:U15, 1)</f>
        <v>2</v>
      </c>
    </row>
    <row r="23" customFormat="false" ht="15" hidden="false" customHeight="false" outlineLevel="0" collapsed="false">
      <c r="G23" s="68" t="s">
        <v>84</v>
      </c>
      <c r="H23" s="68" t="n">
        <f aca="false">SUM(H18:H22)</f>
        <v>13</v>
      </c>
      <c r="I23" s="68" t="n">
        <f aca="false">SUM(I18:I22)</f>
        <v>13</v>
      </c>
      <c r="J23" s="68" t="n">
        <f aca="false">SUM(J18:J22)</f>
        <v>13</v>
      </c>
      <c r="K23" s="68" t="n">
        <f aca="false">SUM(K18:K22)</f>
        <v>13</v>
      </c>
      <c r="L23" s="68" t="n">
        <f aca="false">SUM(L18:L22)</f>
        <v>13</v>
      </c>
      <c r="M23" s="68" t="n">
        <f aca="false">SUM(M18:M22)</f>
        <v>13</v>
      </c>
      <c r="N23" s="68" t="n">
        <f aca="false">SUM(N18:N22)</f>
        <v>13</v>
      </c>
      <c r="O23" s="68" t="n">
        <f aca="false">SUM(O18:O22)</f>
        <v>13</v>
      </c>
      <c r="P23" s="68" t="n">
        <f aca="false">SUM(P18:P22)</f>
        <v>13</v>
      </c>
      <c r="Q23" s="68" t="n">
        <f aca="false">SUM(Q18:Q22)</f>
        <v>13</v>
      </c>
      <c r="R23" s="68" t="n">
        <f aca="false">SUM(R18:R22)</f>
        <v>13</v>
      </c>
      <c r="S23" s="66"/>
      <c r="T23" s="66"/>
      <c r="U23" s="66"/>
    </row>
    <row r="24" customFormat="false" ht="15" hidden="false" customHeight="false" outlineLevel="0" collapsed="false">
      <c r="G24" s="66" t="s">
        <v>363</v>
      </c>
      <c r="H24" s="0" t="n">
        <v>5</v>
      </c>
      <c r="I24" s="0" t="n">
        <v>5</v>
      </c>
      <c r="J24" s="0" t="n">
        <v>5</v>
      </c>
      <c r="K24" s="0" t="n">
        <v>5</v>
      </c>
      <c r="L24" s="0" t="n">
        <v>5</v>
      </c>
      <c r="M24" s="0" t="n">
        <v>5</v>
      </c>
      <c r="N24" s="0" t="n">
        <v>5</v>
      </c>
      <c r="O24" s="0" t="n">
        <v>5</v>
      </c>
      <c r="P24" s="0" t="n">
        <v>5</v>
      </c>
      <c r="Q24" s="0" t="n">
        <v>5</v>
      </c>
      <c r="R24" s="0" t="n">
        <v>5</v>
      </c>
    </row>
    <row r="25" customFormat="false" ht="15" hidden="false" customHeight="false" outlineLevel="0" collapsed="false">
      <c r="G25" s="66" t="s">
        <v>364</v>
      </c>
      <c r="H25" s="0" t="n">
        <v>1</v>
      </c>
      <c r="I25" s="0" t="n">
        <v>1</v>
      </c>
      <c r="J25" s="0" t="n">
        <v>1</v>
      </c>
      <c r="K25" s="0" t="n">
        <v>1</v>
      </c>
      <c r="L25" s="0" t="n">
        <v>1</v>
      </c>
      <c r="M25" s="0" t="n">
        <v>2</v>
      </c>
      <c r="N25" s="0" t="n">
        <v>2</v>
      </c>
      <c r="O25" s="0" t="n">
        <v>1</v>
      </c>
      <c r="P25" s="0" t="n">
        <v>1</v>
      </c>
      <c r="Q25" s="0" t="n">
        <v>1</v>
      </c>
      <c r="R25" s="0" t="n">
        <v>2</v>
      </c>
    </row>
    <row r="26" customFormat="false" ht="15" hidden="false" customHeight="false" outlineLevel="0" collapsed="false">
      <c r="G26" s="66" t="s">
        <v>365</v>
      </c>
      <c r="H26" s="0" t="n">
        <f aca="false">(SUM(H18*5,H19*4,H20*3,H21*2,H22*1)/H23)</f>
        <v>4.30769230769231</v>
      </c>
      <c r="I26" s="0" t="n">
        <f aca="false">(SUM(I18*5,I19*4,I20*3,I21*2,I22*1)/I23)</f>
        <v>4.53846153846154</v>
      </c>
      <c r="J26" s="0" t="n">
        <f aca="false">(SUM(J18*5,J19*4,J20*3,J21*2,J22*1)/J23)</f>
        <v>4.07692307692308</v>
      </c>
      <c r="K26" s="0" t="n">
        <f aca="false">(SUM(K18*5,K19*4,K20*3,K21*2,K22*1)/K23)</f>
        <v>4</v>
      </c>
      <c r="L26" s="0" t="n">
        <f aca="false">(SUM(L18*5,L19*4,L20*3,L21*2,L22*1)/L23)</f>
        <v>4.30769230769231</v>
      </c>
      <c r="M26" s="0" t="n">
        <f aca="false">(SUM(M18*5,M19*4,M20*3,M21*2,M22*1)/M23)</f>
        <v>4.07692307692308</v>
      </c>
      <c r="N26" s="0" t="n">
        <f aca="false">(SUM(N18*5,N19*4,N20*3,N21*2,N22*1)/N23)</f>
        <v>4</v>
      </c>
      <c r="O26" s="0" t="n">
        <f aca="false">(SUM(O18*5,O19*4,O20*3,O21*2,O22*1)/O23)</f>
        <v>3.84615384615385</v>
      </c>
      <c r="P26" s="0" t="n">
        <f aca="false">(SUM(P18*5,P19*4,P20*3,P21*2,P22*1)/P23)</f>
        <v>4</v>
      </c>
      <c r="Q26" s="0" t="n">
        <f aca="false">(SUM(Q18*5,Q19*4,Q20*3,Q21*2,Q22*1)/Q23)</f>
        <v>3.84615384615385</v>
      </c>
      <c r="R26" s="0" t="n">
        <f aca="false">(SUM(R18*5,R19*4,R20*3,R21*2,R22*1)/R23)</f>
        <v>4.23076923076923</v>
      </c>
    </row>
    <row r="27" customFormat="false" ht="15" hidden="true" customHeight="false" outlineLevel="0" collapsed="false">
      <c r="G27" s="66" t="s">
        <v>366</v>
      </c>
      <c r="H27" s="0" t="n">
        <f aca="false">(SUM(H18*25,H19*16,H20*9,H21*4,H22*1)/H23)</f>
        <v>19.8461538461538</v>
      </c>
      <c r="I27" s="0" t="n">
        <f aca="false">(SUM(I18*25,I19*16,I20*9,I21*4,I22*1)/I23)</f>
        <v>21.7692307692308</v>
      </c>
      <c r="J27" s="0" t="n">
        <f aca="false">(SUM(J18*25,J19*16,J20*9,J21*4,J22*1)/J23)</f>
        <v>17.9230769230769</v>
      </c>
      <c r="K27" s="0" t="n">
        <f aca="false">(SUM(K18*25,K19*16,K20*9,K21*4,K22*1)/K23)</f>
        <v>17.0769230769231</v>
      </c>
      <c r="L27" s="0" t="n">
        <f aca="false">(SUM(L18*25,L19*16,L20*9,L21*4,L22*1)/L23)</f>
        <v>19.6923076923077</v>
      </c>
      <c r="M27" s="0" t="n">
        <f aca="false">(SUM(M18*25,M19*16,M20*9,M21*4,M22*1)/M23)</f>
        <v>17.4615384615385</v>
      </c>
      <c r="N27" s="0" t="n">
        <f aca="false">(SUM(N18*25,N19*16,N20*9,N21*4,N22*1)/N23)</f>
        <v>16.7692307692308</v>
      </c>
      <c r="O27" s="0" t="n">
        <f aca="false">(SUM(O18*25,O19*16,O20*9,O21*4,O22*1)/O23)</f>
        <v>16.3076923076923</v>
      </c>
      <c r="P27" s="0" t="n">
        <f aca="false">(SUM(P18*25,P19*16,P20*9,P21*4,P22*1)/P23)</f>
        <v>17.3846153846154</v>
      </c>
      <c r="Q27" s="0" t="n">
        <f aca="false">(SUM(Q18*25,Q19*16,Q20*9,Q21*4,Q22*1)/Q23)</f>
        <v>16.1538461538462</v>
      </c>
      <c r="R27" s="0" t="n">
        <f aca="false">(SUM(R18*25,R19*16,R20*9,R21*4,R22*1)/R23)</f>
        <v>18.6923076923077</v>
      </c>
    </row>
    <row r="28" customFormat="false" ht="15" hidden="false" customHeight="false" outlineLevel="0" collapsed="false">
      <c r="G28" s="66" t="s">
        <v>367</v>
      </c>
      <c r="H28" s="0" t="n">
        <f aca="false">SQRT(H27-H26)</f>
        <v>3.94188553086737</v>
      </c>
      <c r="I28" s="0" t="n">
        <f aca="false">SQRT(I27-I26)</f>
        <v>4.15099617330217</v>
      </c>
      <c r="J28" s="0" t="n">
        <f aca="false">SQRT(J27-J26)</f>
        <v>3.72104203767625</v>
      </c>
      <c r="K28" s="0" t="n">
        <f aca="false">SQRT(K27-K26)</f>
        <v>3.6162028533979</v>
      </c>
      <c r="L28" s="0" t="n">
        <f aca="false">SQRT(L27-L26)</f>
        <v>3.92232270276368</v>
      </c>
      <c r="M28" s="0" t="n">
        <f aca="false">SQRT(M27-M26)</f>
        <v>3.65849906172127</v>
      </c>
      <c r="N28" s="0" t="n">
        <f aca="false">SQRT(N27-N26)</f>
        <v>3.57340604594983</v>
      </c>
      <c r="O28" s="0" t="n">
        <f aca="false">SQRT(O27-O26)</f>
        <v>3.53009043248731</v>
      </c>
      <c r="P28" s="0" t="n">
        <f aca="false">SQRT(P27-P26)</f>
        <v>3.65849906172127</v>
      </c>
      <c r="Q28" s="0" t="n">
        <f aca="false">SQRT(Q27-Q26)</f>
        <v>3.50823207722812</v>
      </c>
      <c r="R28" s="0" t="n">
        <f aca="false">SQRT(R27-R26)</f>
        <v>3.80283295209485</v>
      </c>
    </row>
    <row r="30" customFormat="false" ht="15" hidden="false" customHeight="false" outlineLevel="0" collapsed="false">
      <c r="A30" s="63" t="s">
        <v>368</v>
      </c>
    </row>
    <row r="31" customFormat="false" ht="15" hidden="false" customHeight="false" outlineLevel="0" collapsed="false">
      <c r="A31" s="63" t="s">
        <v>369</v>
      </c>
    </row>
    <row r="32" customFormat="false" ht="15" hidden="false" customHeight="false" outlineLevel="0" collapsed="false">
      <c r="A32" s="63" t="s">
        <v>370</v>
      </c>
    </row>
    <row r="33" customFormat="false" ht="15" hidden="false" customHeight="false" outlineLevel="0" collapsed="false">
      <c r="A33" s="63" t="s">
        <v>371</v>
      </c>
    </row>
    <row r="34" customFormat="false" ht="15" hidden="false" customHeight="false" outlineLevel="0" collapsed="false">
      <c r="A34" s="63" t="s">
        <v>372</v>
      </c>
    </row>
    <row r="35" customFormat="false" ht="15" hidden="false" customHeight="false" outlineLevel="0" collapsed="false">
      <c r="A35" s="63" t="s">
        <v>373</v>
      </c>
    </row>
    <row r="36" customFormat="false" ht="15" hidden="false" customHeight="false" outlineLevel="0" collapsed="false">
      <c r="A36" s="63" t="s">
        <v>374</v>
      </c>
    </row>
    <row r="37" customFormat="false" ht="15" hidden="false" customHeight="false" outlineLevel="0" collapsed="false">
      <c r="A37" s="63" t="s">
        <v>375</v>
      </c>
    </row>
    <row r="38" customFormat="false" ht="15" hidden="false" customHeight="false" outlineLevel="0" collapsed="false">
      <c r="A38" s="63" t="s">
        <v>376</v>
      </c>
    </row>
    <row r="39" customFormat="false" ht="15" hidden="false" customHeight="false" outlineLevel="0" collapsed="false">
      <c r="A39" s="63" t="s">
        <v>377</v>
      </c>
    </row>
    <row r="40" customFormat="false" ht="15" hidden="false" customHeight="false" outlineLevel="0" collapsed="false">
      <c r="A40" s="63" t="s">
        <v>378</v>
      </c>
    </row>
    <row r="41" customFormat="false" ht="15" hidden="false" customHeight="false" outlineLevel="0" collapsed="false">
      <c r="A41" s="63"/>
    </row>
    <row r="42" customFormat="false" ht="15" hidden="false" customHeight="false" outlineLevel="0" collapsed="false">
      <c r="A42" s="63" t="s">
        <v>379</v>
      </c>
    </row>
    <row r="43" customFormat="false" ht="15" hidden="false" customHeight="false" outlineLevel="0" collapsed="false">
      <c r="A43" s="63" t="s">
        <v>380</v>
      </c>
    </row>
    <row r="44" customFormat="false" ht="15" hidden="false" customHeight="false" outlineLevel="0" collapsed="false">
      <c r="A44" s="63" t="s">
        <v>381</v>
      </c>
    </row>
    <row r="45" customFormat="false" ht="15" hidden="false" customHeight="false" outlineLevel="0" collapsed="false">
      <c r="A45" s="63" t="s">
        <v>382</v>
      </c>
    </row>
    <row r="46" customFormat="false" ht="15" hidden="false" customHeight="false" outlineLevel="0" collapsed="false">
      <c r="A46" s="63" t="s">
        <v>383</v>
      </c>
    </row>
    <row r="47" customFormat="false" ht="15" hidden="false" customHeight="false" outlineLevel="0" collapsed="false">
      <c r="A47" s="63" t="s">
        <v>384</v>
      </c>
    </row>
    <row r="48" customFormat="false" ht="15" hidden="false" customHeight="false" outlineLevel="0" collapsed="false">
      <c r="A48" s="63" t="s">
        <v>385</v>
      </c>
    </row>
    <row r="49" customFormat="false" ht="15" hidden="false" customHeight="false" outlineLevel="0" collapsed="false">
      <c r="A49" s="63" t="s">
        <v>386</v>
      </c>
    </row>
    <row r="50" customFormat="false" ht="15" hidden="false" customHeight="false" outlineLevel="0" collapsed="false">
      <c r="A50" s="63" t="s">
        <v>387</v>
      </c>
    </row>
    <row r="51" customFormat="false" ht="15" hidden="false" customHeight="false" outlineLevel="0" collapsed="false">
      <c r="A51" s="63" t="s">
        <v>388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W23" activeCellId="0" sqref="W23"/>
    </sheetView>
  </sheetViews>
  <sheetFormatPr defaultColWidth="8.57421875" defaultRowHeight="15" zeroHeight="false" outlineLevelRow="0" outlineLevelCol="0"/>
  <sheetData>
    <row r="1" customFormat="false" ht="15" hidden="false" customHeight="false" outlineLevel="0" collapsed="false">
      <c r="A1" s="1" t="s">
        <v>389</v>
      </c>
      <c r="B1" s="69" t="s">
        <v>390</v>
      </c>
      <c r="C1" s="69" t="s">
        <v>391</v>
      </c>
      <c r="D1" s="69" t="s">
        <v>392</v>
      </c>
      <c r="E1" s="1" t="s">
        <v>390</v>
      </c>
      <c r="F1" s="1" t="s">
        <v>391</v>
      </c>
      <c r="G1" s="1" t="s">
        <v>392</v>
      </c>
      <c r="H1" s="69" t="s">
        <v>390</v>
      </c>
      <c r="I1" s="69" t="s">
        <v>391</v>
      </c>
      <c r="J1" s="69" t="s">
        <v>392</v>
      </c>
      <c r="K1" s="1" t="s">
        <v>390</v>
      </c>
      <c r="L1" s="1" t="s">
        <v>391</v>
      </c>
      <c r="M1" s="1" t="s">
        <v>392</v>
      </c>
      <c r="N1" s="69" t="s">
        <v>390</v>
      </c>
      <c r="O1" s="69" t="s">
        <v>391</v>
      </c>
      <c r="P1" s="69" t="s">
        <v>392</v>
      </c>
      <c r="Q1" s="1" t="s">
        <v>390</v>
      </c>
      <c r="R1" s="1" t="s">
        <v>391</v>
      </c>
      <c r="S1" s="1" t="s">
        <v>392</v>
      </c>
      <c r="T1" s="69" t="s">
        <v>390</v>
      </c>
      <c r="U1" s="69" t="s">
        <v>391</v>
      </c>
      <c r="V1" s="69" t="s">
        <v>392</v>
      </c>
      <c r="W1" s="1" t="s">
        <v>390</v>
      </c>
      <c r="X1" s="1" t="s">
        <v>391</v>
      </c>
      <c r="Y1" s="1" t="s">
        <v>392</v>
      </c>
      <c r="Z1" s="69" t="s">
        <v>390</v>
      </c>
      <c r="AA1" s="69" t="s">
        <v>391</v>
      </c>
      <c r="AB1" s="69" t="s">
        <v>392</v>
      </c>
      <c r="AC1" s="1" t="s">
        <v>390</v>
      </c>
      <c r="AD1" s="1" t="s">
        <v>391</v>
      </c>
      <c r="AE1" s="1" t="s">
        <v>392</v>
      </c>
      <c r="AF1" s="69" t="s">
        <v>390</v>
      </c>
      <c r="AG1" s="69" t="s">
        <v>391</v>
      </c>
      <c r="AH1" s="69" t="s">
        <v>392</v>
      </c>
      <c r="AI1" s="1" t="s">
        <v>390</v>
      </c>
      <c r="AJ1" s="1" t="s">
        <v>391</v>
      </c>
      <c r="AK1" s="1" t="s">
        <v>392</v>
      </c>
      <c r="AL1" s="69" t="s">
        <v>390</v>
      </c>
      <c r="AM1" s="69" t="s">
        <v>391</v>
      </c>
      <c r="AN1" s="69" t="s">
        <v>392</v>
      </c>
    </row>
    <row r="2" customFormat="false" ht="15" hidden="false" customHeight="false" outlineLevel="0" collapsed="false">
      <c r="A2" s="1"/>
      <c r="B2" s="70" t="s">
        <v>7</v>
      </c>
      <c r="C2" s="70"/>
      <c r="D2" s="70"/>
      <c r="E2" s="71" t="s">
        <v>8</v>
      </c>
      <c r="F2" s="71"/>
      <c r="G2" s="71"/>
      <c r="H2" s="70" t="s">
        <v>9</v>
      </c>
      <c r="I2" s="70"/>
      <c r="J2" s="70"/>
      <c r="K2" s="71" t="s">
        <v>10</v>
      </c>
      <c r="L2" s="71"/>
      <c r="M2" s="71"/>
      <c r="N2" s="70" t="s">
        <v>11</v>
      </c>
      <c r="O2" s="70"/>
      <c r="P2" s="70"/>
      <c r="Q2" s="71" t="s">
        <v>12</v>
      </c>
      <c r="R2" s="71"/>
      <c r="S2" s="71"/>
      <c r="T2" s="70" t="s">
        <v>13</v>
      </c>
      <c r="U2" s="70"/>
      <c r="V2" s="70"/>
      <c r="W2" s="71" t="s">
        <v>14</v>
      </c>
      <c r="X2" s="71"/>
      <c r="Y2" s="71"/>
      <c r="Z2" s="70" t="s">
        <v>15</v>
      </c>
      <c r="AA2" s="70"/>
      <c r="AB2" s="70"/>
      <c r="AC2" s="71" t="s">
        <v>16</v>
      </c>
      <c r="AD2" s="71"/>
      <c r="AE2" s="71"/>
      <c r="AF2" s="70" t="s">
        <v>17</v>
      </c>
      <c r="AG2" s="70"/>
      <c r="AH2" s="70"/>
      <c r="AI2" s="71" t="s">
        <v>18</v>
      </c>
      <c r="AJ2" s="71"/>
      <c r="AK2" s="71"/>
      <c r="AL2" s="70" t="s">
        <v>19</v>
      </c>
      <c r="AM2" s="70"/>
      <c r="AN2" s="70"/>
    </row>
    <row r="3" customFormat="false" ht="15" hidden="false" customHeight="false" outlineLevel="0" collapsed="false">
      <c r="A3" s="0" t="s">
        <v>393</v>
      </c>
      <c r="B3" s="72" t="b">
        <f aca="false">FALSE()</f>
        <v>0</v>
      </c>
      <c r="C3" s="73" t="n">
        <v>0</v>
      </c>
      <c r="D3" s="73" t="n">
        <v>0</v>
      </c>
      <c r="E3" s="74" t="b">
        <f aca="false">TRUE()</f>
        <v>1</v>
      </c>
      <c r="F3" s="0" t="n">
        <v>1</v>
      </c>
      <c r="G3" s="0" t="n">
        <v>3</v>
      </c>
      <c r="H3" s="72" t="b">
        <f aca="false">FALSE()</f>
        <v>0</v>
      </c>
      <c r="I3" s="73" t="n">
        <v>0</v>
      </c>
      <c r="J3" s="73" t="n">
        <v>0</v>
      </c>
      <c r="K3" s="74" t="b">
        <f aca="false">FALSE()</f>
        <v>0</v>
      </c>
      <c r="L3" s="0" t="n">
        <v>0</v>
      </c>
      <c r="M3" s="0" t="n">
        <v>0</v>
      </c>
      <c r="N3" s="72" t="b">
        <f aca="false">FALSE()</f>
        <v>0</v>
      </c>
      <c r="O3" s="73" t="n">
        <v>0</v>
      </c>
      <c r="P3" s="73" t="n">
        <v>0</v>
      </c>
      <c r="Q3" s="74" t="b">
        <f aca="false">TRUE()</f>
        <v>1</v>
      </c>
      <c r="R3" s="0" t="n">
        <v>1</v>
      </c>
      <c r="S3" s="0" t="n">
        <v>3</v>
      </c>
      <c r="T3" s="72" t="b">
        <f aca="false">TRUE()</f>
        <v>1</v>
      </c>
      <c r="U3" s="73" t="n">
        <v>1</v>
      </c>
      <c r="V3" s="73" t="n">
        <v>3</v>
      </c>
      <c r="W3" s="74" t="b">
        <f aca="false">FALSE()</f>
        <v>0</v>
      </c>
      <c r="X3" s="0" t="n">
        <v>0</v>
      </c>
      <c r="Y3" s="0" t="n">
        <v>0</v>
      </c>
      <c r="Z3" s="72" t="b">
        <f aca="false">TRUE()</f>
        <v>1</v>
      </c>
      <c r="AA3" s="73" t="n">
        <v>1</v>
      </c>
      <c r="AB3" s="73" t="n">
        <v>2</v>
      </c>
      <c r="AC3" s="74" t="b">
        <f aca="false">TRUE()</f>
        <v>1</v>
      </c>
      <c r="AD3" s="0" t="n">
        <v>1</v>
      </c>
      <c r="AE3" s="0" t="n">
        <v>2</v>
      </c>
      <c r="AF3" s="72" t="b">
        <f aca="false">FALSE()</f>
        <v>0</v>
      </c>
      <c r="AG3" s="73" t="n">
        <v>0</v>
      </c>
      <c r="AH3" s="73" t="n">
        <v>0</v>
      </c>
      <c r="AI3" s="74" t="b">
        <f aca="false">TRUE()</f>
        <v>1</v>
      </c>
      <c r="AJ3" s="0" t="n">
        <v>1</v>
      </c>
      <c r="AK3" s="0" t="n">
        <v>4</v>
      </c>
      <c r="AL3" s="72" t="b">
        <f aca="false">TRUE()</f>
        <v>1</v>
      </c>
      <c r="AM3" s="73" t="n">
        <v>1</v>
      </c>
      <c r="AN3" s="73" t="n">
        <v>4</v>
      </c>
    </row>
    <row r="4" customFormat="false" ht="15" hidden="false" customHeight="false" outlineLevel="0" collapsed="false">
      <c r="A4" s="0" t="s">
        <v>394</v>
      </c>
      <c r="B4" s="72" t="b">
        <f aca="false">FALSE()</f>
        <v>0</v>
      </c>
      <c r="C4" s="73" t="n">
        <v>0</v>
      </c>
      <c r="D4" s="73" t="n">
        <v>0</v>
      </c>
      <c r="E4" s="74" t="b">
        <f aca="false">FALSE()</f>
        <v>0</v>
      </c>
      <c r="F4" s="0" t="n">
        <v>0</v>
      </c>
      <c r="G4" s="0" t="n">
        <v>0</v>
      </c>
      <c r="H4" s="72" t="b">
        <f aca="false">TRUE()</f>
        <v>1</v>
      </c>
      <c r="I4" s="73" t="n">
        <v>1</v>
      </c>
      <c r="J4" s="73" t="n">
        <v>4</v>
      </c>
      <c r="K4" s="74" t="b">
        <f aca="false">TRUE()</f>
        <v>1</v>
      </c>
      <c r="L4" s="0" t="n">
        <v>2</v>
      </c>
      <c r="M4" s="0" t="n">
        <v>7</v>
      </c>
      <c r="N4" s="72" t="b">
        <f aca="false">FALSE()</f>
        <v>0</v>
      </c>
      <c r="O4" s="73" t="n">
        <v>0</v>
      </c>
      <c r="P4" s="73" t="n">
        <v>0</v>
      </c>
      <c r="Q4" s="74" t="b">
        <f aca="false">TRUE()</f>
        <v>1</v>
      </c>
      <c r="R4" s="0" t="n">
        <v>1</v>
      </c>
      <c r="S4" s="0" t="n">
        <v>2</v>
      </c>
      <c r="T4" s="72" t="b">
        <f aca="false">TRUE()</f>
        <v>1</v>
      </c>
      <c r="U4" s="73" t="n">
        <v>2</v>
      </c>
      <c r="V4" s="73" t="n">
        <v>5</v>
      </c>
      <c r="W4" s="74" t="b">
        <f aca="false">FALSE()</f>
        <v>0</v>
      </c>
      <c r="X4" s="0" t="n">
        <v>0</v>
      </c>
      <c r="Y4" s="0" t="n">
        <v>0</v>
      </c>
      <c r="Z4" s="72" t="b">
        <f aca="false">FALSE()</f>
        <v>0</v>
      </c>
      <c r="AA4" s="73" t="n">
        <v>0</v>
      </c>
      <c r="AB4" s="73" t="n">
        <v>0</v>
      </c>
      <c r="AC4" s="74" t="b">
        <f aca="false">TRUE()</f>
        <v>1</v>
      </c>
      <c r="AD4" s="0" t="n">
        <v>2</v>
      </c>
      <c r="AE4" s="0" t="n">
        <v>3</v>
      </c>
      <c r="AF4" s="72" t="b">
        <f aca="false">TRUE()</f>
        <v>1</v>
      </c>
      <c r="AG4" s="73" t="n">
        <v>1</v>
      </c>
      <c r="AH4" s="73" t="n">
        <v>4</v>
      </c>
      <c r="AI4" s="74" t="b">
        <f aca="false">FALSE()</f>
        <v>0</v>
      </c>
      <c r="AJ4" s="0" t="n">
        <v>0</v>
      </c>
      <c r="AK4" s="0" t="n">
        <v>0</v>
      </c>
      <c r="AL4" s="72" t="b">
        <f aca="false">TRUE()</f>
        <v>1</v>
      </c>
      <c r="AM4" s="73" t="n">
        <v>1</v>
      </c>
      <c r="AN4" s="73" t="n">
        <v>2</v>
      </c>
    </row>
    <row r="5" customFormat="false" ht="15" hidden="false" customHeight="false" outlineLevel="0" collapsed="false">
      <c r="A5" s="0" t="s">
        <v>395</v>
      </c>
      <c r="B5" s="72" t="b">
        <f aca="false">FALSE()</f>
        <v>0</v>
      </c>
      <c r="C5" s="73" t="n">
        <v>0</v>
      </c>
      <c r="D5" s="73" t="n">
        <v>0</v>
      </c>
      <c r="E5" s="74" t="b">
        <f aca="false">TRUE()</f>
        <v>1</v>
      </c>
      <c r="F5" s="0" t="n">
        <v>1</v>
      </c>
      <c r="G5" s="0" t="n">
        <v>1</v>
      </c>
      <c r="H5" s="72" t="b">
        <f aca="false">FALSE()</f>
        <v>0</v>
      </c>
      <c r="I5" s="73" t="n">
        <v>0</v>
      </c>
      <c r="J5" s="73" t="n">
        <v>0</v>
      </c>
      <c r="K5" s="74" t="b">
        <f aca="false">FALSE()</f>
        <v>0</v>
      </c>
      <c r="L5" s="0" t="n">
        <v>0</v>
      </c>
      <c r="M5" s="0" t="n">
        <v>0</v>
      </c>
      <c r="N5" s="72" t="b">
        <f aca="false">FALSE()</f>
        <v>0</v>
      </c>
      <c r="O5" s="73" t="n">
        <v>0</v>
      </c>
      <c r="P5" s="73" t="n">
        <v>0</v>
      </c>
      <c r="Q5" s="74" t="b">
        <f aca="false">FALSE()</f>
        <v>0</v>
      </c>
      <c r="R5" s="0" t="n">
        <v>0</v>
      </c>
      <c r="S5" s="0" t="n">
        <v>0</v>
      </c>
      <c r="T5" s="72" t="b">
        <f aca="false">FALSE()</f>
        <v>0</v>
      </c>
      <c r="U5" s="73" t="n">
        <v>0</v>
      </c>
      <c r="V5" s="73" t="n">
        <v>0</v>
      </c>
      <c r="W5" s="74" t="b">
        <f aca="false">TRUE()</f>
        <v>1</v>
      </c>
      <c r="X5" s="0" t="n">
        <v>1</v>
      </c>
      <c r="Y5" s="0" t="n">
        <v>2</v>
      </c>
      <c r="Z5" s="72" t="b">
        <f aca="false">FALSE()</f>
        <v>0</v>
      </c>
      <c r="AA5" s="73" t="n">
        <v>0</v>
      </c>
      <c r="AB5" s="73" t="n">
        <v>0</v>
      </c>
      <c r="AC5" s="74" t="b">
        <f aca="false">FALSE()</f>
        <v>0</v>
      </c>
      <c r="AD5" s="0" t="n">
        <v>0</v>
      </c>
      <c r="AE5" s="0" t="n">
        <v>0</v>
      </c>
      <c r="AF5" s="72" t="b">
        <f aca="false">FALSE()</f>
        <v>0</v>
      </c>
      <c r="AG5" s="73" t="n">
        <v>0</v>
      </c>
      <c r="AH5" s="73" t="n">
        <v>0</v>
      </c>
      <c r="AI5" s="74" t="b">
        <f aca="false">FALSE()</f>
        <v>0</v>
      </c>
      <c r="AJ5" s="0" t="n">
        <v>0</v>
      </c>
      <c r="AK5" s="0" t="n">
        <v>0</v>
      </c>
      <c r="AL5" s="72" t="b">
        <f aca="false">FALSE()</f>
        <v>0</v>
      </c>
      <c r="AM5" s="73" t="n">
        <v>0</v>
      </c>
      <c r="AN5" s="73" t="n">
        <v>0</v>
      </c>
    </row>
    <row r="6" customFormat="false" ht="15" hidden="false" customHeight="false" outlineLevel="0" collapsed="false">
      <c r="A6" s="0" t="s">
        <v>396</v>
      </c>
      <c r="B6" s="72" t="b">
        <f aca="false">FALSE()</f>
        <v>0</v>
      </c>
      <c r="C6" s="73" t="n">
        <v>0</v>
      </c>
      <c r="D6" s="73" t="n">
        <v>0</v>
      </c>
      <c r="E6" s="74" t="b">
        <f aca="false">FALSE()</f>
        <v>0</v>
      </c>
      <c r="F6" s="0" t="n">
        <v>0</v>
      </c>
      <c r="G6" s="0" t="n">
        <v>0</v>
      </c>
      <c r="H6" s="72" t="b">
        <f aca="false">TRUE()</f>
        <v>1</v>
      </c>
      <c r="I6" s="73" t="n">
        <v>2</v>
      </c>
      <c r="J6" s="73" t="n">
        <v>8</v>
      </c>
      <c r="K6" s="74" t="b">
        <f aca="false">FALSE()</f>
        <v>0</v>
      </c>
      <c r="L6" s="0" t="n">
        <v>0</v>
      </c>
      <c r="M6" s="0" t="n">
        <v>0</v>
      </c>
      <c r="N6" s="72" t="b">
        <f aca="false">FALSE()</f>
        <v>0</v>
      </c>
      <c r="O6" s="73" t="n">
        <v>0</v>
      </c>
      <c r="P6" s="73" t="n">
        <v>0</v>
      </c>
      <c r="Q6" s="74" t="b">
        <f aca="false">FALSE()</f>
        <v>0</v>
      </c>
      <c r="R6" s="0" t="n">
        <v>0</v>
      </c>
      <c r="S6" s="0" t="n">
        <v>0</v>
      </c>
      <c r="T6" s="72" t="b">
        <f aca="false">TRUE()</f>
        <v>1</v>
      </c>
      <c r="U6" s="73" t="n">
        <v>1</v>
      </c>
      <c r="V6" s="73" t="n">
        <v>4</v>
      </c>
      <c r="W6" s="74" t="b">
        <f aca="false">FALSE()</f>
        <v>0</v>
      </c>
      <c r="X6" s="0" t="n">
        <v>0</v>
      </c>
      <c r="Y6" s="0" t="n">
        <v>0</v>
      </c>
      <c r="Z6" s="72" t="b">
        <f aca="false">FALSE()</f>
        <v>0</v>
      </c>
      <c r="AA6" s="73" t="n">
        <v>0</v>
      </c>
      <c r="AB6" s="73" t="n">
        <v>0</v>
      </c>
      <c r="AC6" s="74" t="b">
        <f aca="false">FALSE()</f>
        <v>0</v>
      </c>
      <c r="AD6" s="0" t="n">
        <v>0</v>
      </c>
      <c r="AE6" s="0" t="n">
        <v>0</v>
      </c>
      <c r="AF6" s="72" t="b">
        <f aca="false">TRUE()</f>
        <v>1</v>
      </c>
      <c r="AG6" s="73" t="n">
        <v>1</v>
      </c>
      <c r="AH6" s="73" t="n">
        <v>3</v>
      </c>
      <c r="AI6" s="74" t="b">
        <f aca="false">TRUE()</f>
        <v>1</v>
      </c>
      <c r="AJ6" s="0" t="n">
        <v>1</v>
      </c>
      <c r="AK6" s="0" t="n">
        <v>4</v>
      </c>
      <c r="AL6" s="72" t="b">
        <f aca="false">TRUE()</f>
        <v>1</v>
      </c>
      <c r="AM6" s="73" t="n">
        <v>3</v>
      </c>
      <c r="AN6" s="73" t="n">
        <v>10</v>
      </c>
    </row>
    <row r="7" customFormat="false" ht="15" hidden="false" customHeight="false" outlineLevel="0" collapsed="false">
      <c r="A7" s="0" t="s">
        <v>397</v>
      </c>
      <c r="B7" s="72" t="b">
        <f aca="false">TRUE()</f>
        <v>1</v>
      </c>
      <c r="C7" s="73" t="n">
        <v>1</v>
      </c>
      <c r="D7" s="73" t="n">
        <v>4</v>
      </c>
      <c r="E7" s="74" t="b">
        <f aca="false">TRUE()</f>
        <v>1</v>
      </c>
      <c r="F7" s="0" t="n">
        <v>1</v>
      </c>
      <c r="G7" s="0" t="n">
        <v>3</v>
      </c>
      <c r="H7" s="72" t="b">
        <f aca="false">FALSE()</f>
        <v>0</v>
      </c>
      <c r="I7" s="73" t="n">
        <v>0</v>
      </c>
      <c r="J7" s="73" t="n">
        <v>0</v>
      </c>
      <c r="K7" s="74" t="b">
        <f aca="false">FALSE()</f>
        <v>0</v>
      </c>
      <c r="L7" s="0" t="n">
        <v>0</v>
      </c>
      <c r="M7" s="0" t="n">
        <v>0</v>
      </c>
      <c r="N7" s="72" t="b">
        <f aca="false">FALSE()</f>
        <v>0</v>
      </c>
      <c r="O7" s="73" t="n">
        <v>0</v>
      </c>
      <c r="P7" s="73" t="n">
        <v>0</v>
      </c>
      <c r="Q7" s="74" t="b">
        <f aca="false">TRUE()</f>
        <v>1</v>
      </c>
      <c r="R7" s="0" t="n">
        <v>1</v>
      </c>
      <c r="S7" s="0" t="n">
        <v>2</v>
      </c>
      <c r="T7" s="72" t="b">
        <f aca="false">FALSE()</f>
        <v>0</v>
      </c>
      <c r="U7" s="73" t="n">
        <v>0</v>
      </c>
      <c r="V7" s="73" t="n">
        <v>0</v>
      </c>
      <c r="W7" s="74" t="b">
        <f aca="false">FALSE()</f>
        <v>0</v>
      </c>
      <c r="X7" s="0" t="n">
        <v>0</v>
      </c>
      <c r="Y7" s="0" t="n">
        <v>0</v>
      </c>
      <c r="Z7" s="72" t="b">
        <f aca="false">FALSE()</f>
        <v>0</v>
      </c>
      <c r="AA7" s="73" t="n">
        <v>0</v>
      </c>
      <c r="AB7" s="73" t="n">
        <v>0</v>
      </c>
      <c r="AC7" s="74" t="b">
        <f aca="false">FALSE()</f>
        <v>0</v>
      </c>
      <c r="AD7" s="0" t="n">
        <v>0</v>
      </c>
      <c r="AE7" s="0" t="n">
        <v>0</v>
      </c>
      <c r="AF7" s="72" t="b">
        <f aca="false">FALSE()</f>
        <v>0</v>
      </c>
      <c r="AG7" s="73" t="n">
        <v>0</v>
      </c>
      <c r="AH7" s="73" t="n">
        <v>0</v>
      </c>
      <c r="AI7" s="74" t="b">
        <f aca="false">FALSE()</f>
        <v>0</v>
      </c>
      <c r="AJ7" s="0" t="n">
        <v>0</v>
      </c>
      <c r="AK7" s="0" t="n">
        <v>0</v>
      </c>
      <c r="AL7" s="72" t="b">
        <f aca="false">TRUE()</f>
        <v>1</v>
      </c>
      <c r="AM7" s="73" t="n">
        <v>1</v>
      </c>
      <c r="AN7" s="73" t="n">
        <v>3</v>
      </c>
    </row>
    <row r="8" customFormat="false" ht="15" hidden="false" customHeight="false" outlineLevel="0" collapsed="false">
      <c r="A8" s="0" t="s">
        <v>398</v>
      </c>
      <c r="B8" s="72" t="b">
        <f aca="false">TRUE()</f>
        <v>1</v>
      </c>
      <c r="C8" s="73" t="n">
        <v>2</v>
      </c>
      <c r="D8" s="73" t="n">
        <v>5</v>
      </c>
      <c r="E8" s="74" t="b">
        <f aca="false">TRUE()</f>
        <v>1</v>
      </c>
      <c r="F8" s="0" t="n">
        <v>2</v>
      </c>
      <c r="G8" s="0" t="n">
        <v>2</v>
      </c>
      <c r="H8" s="72" t="b">
        <f aca="false">TRUE()</f>
        <v>1</v>
      </c>
      <c r="I8" s="73" t="n">
        <v>1</v>
      </c>
      <c r="J8" s="73" t="n">
        <v>3</v>
      </c>
      <c r="K8" s="74" t="b">
        <f aca="false">TRUE()</f>
        <v>1</v>
      </c>
      <c r="L8" s="0" t="n">
        <v>3</v>
      </c>
      <c r="M8" s="0" t="n">
        <v>11</v>
      </c>
      <c r="N8" s="72" t="b">
        <f aca="false">FALSE()</f>
        <v>0</v>
      </c>
      <c r="O8" s="73" t="n">
        <v>0</v>
      </c>
      <c r="P8" s="73" t="n">
        <v>0</v>
      </c>
      <c r="Q8" s="74" t="b">
        <f aca="false">TRUE()</f>
        <v>1</v>
      </c>
      <c r="R8" s="0" t="n">
        <v>2</v>
      </c>
      <c r="S8" s="0" t="n">
        <v>7</v>
      </c>
      <c r="T8" s="72" t="b">
        <f aca="false">TRUE()</f>
        <v>1</v>
      </c>
      <c r="U8" s="73" t="n">
        <v>2</v>
      </c>
      <c r="V8" s="73" t="n">
        <v>7</v>
      </c>
      <c r="W8" s="74" t="b">
        <f aca="false">TRUE()</f>
        <v>1</v>
      </c>
      <c r="X8" s="0" t="n">
        <v>4</v>
      </c>
      <c r="Y8" s="0" t="n">
        <v>15</v>
      </c>
      <c r="Z8" s="72" t="b">
        <f aca="false">TRUE()</f>
        <v>1</v>
      </c>
      <c r="AA8" s="73" t="n">
        <v>1</v>
      </c>
      <c r="AB8" s="73" t="n">
        <v>2</v>
      </c>
      <c r="AC8" s="74" t="b">
        <f aca="false">TRUE()</f>
        <v>1</v>
      </c>
      <c r="AD8" s="0" t="n">
        <v>1</v>
      </c>
      <c r="AE8" s="0" t="n">
        <v>1</v>
      </c>
      <c r="AF8" s="72" t="b">
        <f aca="false">FALSE()</f>
        <v>0</v>
      </c>
      <c r="AG8" s="73" t="n">
        <v>0</v>
      </c>
      <c r="AH8" s="73" t="n">
        <v>0</v>
      </c>
      <c r="AI8" s="74" t="b">
        <f aca="false">TRUE()</f>
        <v>1</v>
      </c>
      <c r="AJ8" s="0" t="n">
        <v>2</v>
      </c>
      <c r="AK8" s="0" t="n">
        <v>7</v>
      </c>
      <c r="AL8" s="72" t="b">
        <f aca="false">TRUE()</f>
        <v>1</v>
      </c>
      <c r="AM8" s="73" t="n">
        <v>1</v>
      </c>
      <c r="AN8" s="73" t="n">
        <v>3</v>
      </c>
    </row>
    <row r="9" customFormat="false" ht="15" hidden="false" customHeight="false" outlineLevel="0" collapsed="false">
      <c r="A9" s="0" t="s">
        <v>399</v>
      </c>
      <c r="B9" s="72" t="b">
        <f aca="false">TRUE()</f>
        <v>1</v>
      </c>
      <c r="C9" s="73" t="n">
        <v>1</v>
      </c>
      <c r="D9" s="73" t="n">
        <v>1</v>
      </c>
      <c r="E9" s="74" t="b">
        <f aca="false">TRUE()</f>
        <v>1</v>
      </c>
      <c r="F9" s="0" t="n">
        <v>1</v>
      </c>
      <c r="G9" s="0" t="n">
        <v>3</v>
      </c>
      <c r="H9" s="72" t="b">
        <f aca="false">TRUE()</f>
        <v>1</v>
      </c>
      <c r="I9" s="73" t="n">
        <v>1</v>
      </c>
      <c r="J9" s="73" t="n">
        <v>3</v>
      </c>
      <c r="K9" s="74" t="b">
        <f aca="false">TRUE()</f>
        <v>1</v>
      </c>
      <c r="L9" s="0" t="n">
        <v>1</v>
      </c>
      <c r="M9" s="0" t="n">
        <v>4</v>
      </c>
      <c r="N9" s="72" t="b">
        <f aca="false">FALSE()</f>
        <v>0</v>
      </c>
      <c r="O9" s="73" t="n">
        <v>0</v>
      </c>
      <c r="P9" s="73" t="n">
        <v>0</v>
      </c>
      <c r="Q9" s="74" t="b">
        <f aca="false">FALSE()</f>
        <v>0</v>
      </c>
      <c r="R9" s="0" t="n">
        <v>0</v>
      </c>
      <c r="S9" s="0" t="n">
        <v>0</v>
      </c>
      <c r="T9" s="72" t="b">
        <f aca="false">TRUE()</f>
        <v>1</v>
      </c>
      <c r="U9" s="73" t="n">
        <v>1</v>
      </c>
      <c r="V9" s="73" t="n">
        <v>3</v>
      </c>
      <c r="W9" s="74" t="b">
        <f aca="false">TRUE()</f>
        <v>1</v>
      </c>
      <c r="X9" s="0" t="n">
        <v>1</v>
      </c>
      <c r="Y9" s="0" t="n">
        <v>4</v>
      </c>
      <c r="Z9" s="72" t="b">
        <f aca="false">FALSE()</f>
        <v>0</v>
      </c>
      <c r="AA9" s="73" t="n">
        <v>0</v>
      </c>
      <c r="AB9" s="73" t="n">
        <v>0</v>
      </c>
      <c r="AC9" s="74" t="b">
        <f aca="false">TRUE()</f>
        <v>1</v>
      </c>
      <c r="AD9" s="0" t="n">
        <v>1</v>
      </c>
      <c r="AE9" s="0" t="n">
        <v>2</v>
      </c>
      <c r="AF9" s="72" t="b">
        <f aca="false">TRUE()</f>
        <v>1</v>
      </c>
      <c r="AG9" s="73" t="n">
        <v>1</v>
      </c>
      <c r="AH9" s="73" t="n">
        <v>1</v>
      </c>
      <c r="AI9" s="74" t="b">
        <f aca="false">TRUE()</f>
        <v>1</v>
      </c>
      <c r="AJ9" s="0" t="n">
        <v>2</v>
      </c>
      <c r="AK9" s="0" t="n">
        <v>7</v>
      </c>
      <c r="AL9" s="72" t="b">
        <f aca="false">TRUE()</f>
        <v>1</v>
      </c>
      <c r="AM9" s="73" t="n">
        <v>1</v>
      </c>
      <c r="AN9" s="73" t="n">
        <v>4</v>
      </c>
    </row>
    <row r="10" customFormat="false" ht="15" hidden="false" customHeight="false" outlineLevel="0" collapsed="false">
      <c r="A10" s="0" t="s">
        <v>400</v>
      </c>
      <c r="B10" s="72" t="b">
        <f aca="false">FALSE()</f>
        <v>0</v>
      </c>
      <c r="C10" s="73" t="n">
        <v>0</v>
      </c>
      <c r="D10" s="73" t="n">
        <v>0</v>
      </c>
      <c r="E10" s="74" t="b">
        <f aca="false">FALSE()</f>
        <v>0</v>
      </c>
      <c r="F10" s="0" t="n">
        <v>0</v>
      </c>
      <c r="G10" s="0" t="n">
        <v>0</v>
      </c>
      <c r="H10" s="72" t="b">
        <f aca="false">FALSE()</f>
        <v>0</v>
      </c>
      <c r="I10" s="73" t="n">
        <v>0</v>
      </c>
      <c r="J10" s="73" t="n">
        <v>0</v>
      </c>
      <c r="K10" s="74" t="b">
        <f aca="false">FALSE()</f>
        <v>0</v>
      </c>
      <c r="L10" s="0" t="n">
        <v>0</v>
      </c>
      <c r="M10" s="0" t="n">
        <v>0</v>
      </c>
      <c r="N10" s="72" t="b">
        <f aca="false">FALSE()</f>
        <v>0</v>
      </c>
      <c r="O10" s="73" t="n">
        <v>0</v>
      </c>
      <c r="P10" s="73" t="n">
        <v>0</v>
      </c>
      <c r="Q10" s="74" t="b">
        <f aca="false">FALSE()</f>
        <v>0</v>
      </c>
      <c r="R10" s="0" t="n">
        <v>0</v>
      </c>
      <c r="S10" s="0" t="n">
        <v>0</v>
      </c>
      <c r="T10" s="72" t="b">
        <f aca="false">FALSE()</f>
        <v>0</v>
      </c>
      <c r="U10" s="73" t="n">
        <v>0</v>
      </c>
      <c r="V10" s="73" t="n">
        <v>0</v>
      </c>
      <c r="W10" s="74" t="b">
        <f aca="false">FALSE()</f>
        <v>0</v>
      </c>
      <c r="X10" s="0" t="n">
        <v>0</v>
      </c>
      <c r="Y10" s="0" t="n">
        <v>0</v>
      </c>
      <c r="Z10" s="72" t="b">
        <f aca="false">TRUE()</f>
        <v>1</v>
      </c>
      <c r="AA10" s="73" t="n">
        <v>1</v>
      </c>
      <c r="AB10" s="73" t="n">
        <v>2</v>
      </c>
      <c r="AC10" s="74" t="b">
        <f aca="false">FALSE()</f>
        <v>0</v>
      </c>
      <c r="AD10" s="0" t="n">
        <v>0</v>
      </c>
      <c r="AE10" s="0" t="n">
        <v>0</v>
      </c>
      <c r="AF10" s="72" t="b">
        <f aca="false">FALSE()</f>
        <v>0</v>
      </c>
      <c r="AG10" s="73" t="n">
        <v>0</v>
      </c>
      <c r="AH10" s="73" t="n">
        <v>0</v>
      </c>
      <c r="AI10" s="74" t="b">
        <f aca="false">FALSE()</f>
        <v>0</v>
      </c>
      <c r="AJ10" s="0" t="n">
        <v>0</v>
      </c>
      <c r="AK10" s="0" t="n">
        <v>0</v>
      </c>
      <c r="AL10" s="72" t="b">
        <f aca="false">FALSE()</f>
        <v>0</v>
      </c>
      <c r="AM10" s="73" t="n">
        <v>0</v>
      </c>
      <c r="AN10" s="73" t="n">
        <v>0</v>
      </c>
    </row>
    <row r="11" customFormat="false" ht="15" hidden="false" customHeight="false" outlineLevel="0" collapsed="false">
      <c r="A11" s="0" t="s">
        <v>401</v>
      </c>
      <c r="B11" s="72" t="b">
        <f aca="false">FALSE()</f>
        <v>0</v>
      </c>
      <c r="C11" s="73" t="n">
        <v>0</v>
      </c>
      <c r="D11" s="73" t="n">
        <v>0</v>
      </c>
      <c r="E11" s="74" t="b">
        <f aca="false">FALSE()</f>
        <v>0</v>
      </c>
      <c r="F11" s="0" t="n">
        <v>0</v>
      </c>
      <c r="G11" s="0" t="n">
        <v>0</v>
      </c>
      <c r="H11" s="72" t="b">
        <f aca="false">FALSE()</f>
        <v>0</v>
      </c>
      <c r="I11" s="73" t="n">
        <v>0</v>
      </c>
      <c r="J11" s="73" t="n">
        <v>0</v>
      </c>
      <c r="K11" s="74" t="b">
        <f aca="false">FALSE()</f>
        <v>0</v>
      </c>
      <c r="L11" s="0" t="n">
        <v>0</v>
      </c>
      <c r="M11" s="0" t="n">
        <v>0</v>
      </c>
      <c r="N11" s="72" t="b">
        <f aca="false">FALSE()</f>
        <v>0</v>
      </c>
      <c r="O11" s="73" t="n">
        <v>0</v>
      </c>
      <c r="P11" s="73" t="n">
        <v>0</v>
      </c>
      <c r="Q11" s="74" t="b">
        <f aca="false">FALSE()</f>
        <v>0</v>
      </c>
      <c r="R11" s="0" t="n">
        <v>0</v>
      </c>
      <c r="S11" s="0" t="n">
        <v>0</v>
      </c>
      <c r="T11" s="72" t="b">
        <f aca="false">FALSE()</f>
        <v>0</v>
      </c>
      <c r="U11" s="73" t="n">
        <v>0</v>
      </c>
      <c r="V11" s="73" t="n">
        <v>0</v>
      </c>
      <c r="W11" s="74" t="b">
        <f aca="false">FALSE()</f>
        <v>0</v>
      </c>
      <c r="X11" s="0" t="n">
        <v>0</v>
      </c>
      <c r="Y11" s="0" t="n">
        <v>0</v>
      </c>
      <c r="Z11" s="72" t="b">
        <f aca="false">FALSE()</f>
        <v>0</v>
      </c>
      <c r="AA11" s="73" t="n">
        <v>0</v>
      </c>
      <c r="AB11" s="73" t="n">
        <v>0</v>
      </c>
      <c r="AC11" s="74" t="b">
        <f aca="false">FALSE()</f>
        <v>0</v>
      </c>
      <c r="AD11" s="0" t="n">
        <v>0</v>
      </c>
      <c r="AE11" s="0" t="n">
        <v>0</v>
      </c>
      <c r="AF11" s="72" t="b">
        <f aca="false">FALSE()</f>
        <v>0</v>
      </c>
      <c r="AG11" s="73" t="n">
        <v>0</v>
      </c>
      <c r="AH11" s="73" t="n">
        <v>0</v>
      </c>
      <c r="AI11" s="74" t="b">
        <f aca="false">TRUE()</f>
        <v>1</v>
      </c>
      <c r="AJ11" s="0" t="n">
        <v>1</v>
      </c>
      <c r="AK11" s="0" t="n">
        <v>2</v>
      </c>
      <c r="AL11" s="72" t="b">
        <f aca="false">FALSE()</f>
        <v>0</v>
      </c>
      <c r="AM11" s="73" t="n">
        <v>0</v>
      </c>
      <c r="AN11" s="73" t="n">
        <v>0</v>
      </c>
    </row>
    <row r="12" customFormat="false" ht="15" hidden="false" customHeight="false" outlineLevel="0" collapsed="false">
      <c r="A12" s="0" t="s">
        <v>402</v>
      </c>
      <c r="B12" s="72" t="b">
        <f aca="false">TRUE()</f>
        <v>1</v>
      </c>
      <c r="C12" s="73" t="n">
        <v>5</v>
      </c>
      <c r="D12" s="73" t="n">
        <v>19</v>
      </c>
      <c r="E12" s="74" t="b">
        <f aca="false">FALSE()</f>
        <v>0</v>
      </c>
      <c r="F12" s="0" t="n">
        <v>0</v>
      </c>
      <c r="G12" s="0" t="n">
        <v>0</v>
      </c>
      <c r="H12" s="72" t="b">
        <f aca="false">FALSE()</f>
        <v>0</v>
      </c>
      <c r="I12" s="73" t="n">
        <v>0</v>
      </c>
      <c r="J12" s="73" t="n">
        <v>0</v>
      </c>
      <c r="K12" s="74" t="b">
        <f aca="false">FALSE()</f>
        <v>0</v>
      </c>
      <c r="L12" s="0" t="n">
        <v>0</v>
      </c>
      <c r="M12" s="0" t="n">
        <v>0</v>
      </c>
      <c r="N12" s="72" t="b">
        <f aca="false">FALSE()</f>
        <v>0</v>
      </c>
      <c r="O12" s="73" t="n">
        <v>0</v>
      </c>
      <c r="P12" s="73" t="n">
        <v>0</v>
      </c>
      <c r="Q12" s="74" t="b">
        <f aca="false">TRUE()</f>
        <v>1</v>
      </c>
      <c r="R12" s="0" t="n">
        <v>1</v>
      </c>
      <c r="S12" s="0" t="n">
        <v>2</v>
      </c>
      <c r="T12" s="72" t="b">
        <f aca="false">FALSE()</f>
        <v>0</v>
      </c>
      <c r="U12" s="73" t="n">
        <v>0</v>
      </c>
      <c r="V12" s="73" t="n">
        <v>0</v>
      </c>
      <c r="W12" s="74" t="b">
        <f aca="false">FALSE()</f>
        <v>0</v>
      </c>
      <c r="X12" s="0" t="n">
        <v>0</v>
      </c>
      <c r="Y12" s="0" t="n">
        <v>0</v>
      </c>
      <c r="Z12" s="72" t="b">
        <f aca="false">FALSE()</f>
        <v>0</v>
      </c>
      <c r="AA12" s="73" t="n">
        <v>0</v>
      </c>
      <c r="AB12" s="73" t="n">
        <v>0</v>
      </c>
      <c r="AC12" s="74" t="b">
        <f aca="false">TRUE()</f>
        <v>1</v>
      </c>
      <c r="AD12" s="0" t="n">
        <v>1</v>
      </c>
      <c r="AE12" s="0" t="n">
        <v>3</v>
      </c>
      <c r="AF12" s="72" t="b">
        <f aca="false">FALSE()</f>
        <v>0</v>
      </c>
      <c r="AG12" s="73" t="n">
        <v>0</v>
      </c>
      <c r="AH12" s="73" t="n">
        <v>0</v>
      </c>
      <c r="AI12" s="74" t="b">
        <f aca="false">TRUE()</f>
        <v>1</v>
      </c>
      <c r="AJ12" s="0" t="n">
        <v>1</v>
      </c>
      <c r="AK12" s="0" t="n">
        <v>2</v>
      </c>
      <c r="AL12" s="72" t="b">
        <f aca="false">FALSE()</f>
        <v>0</v>
      </c>
      <c r="AM12" s="73" t="n">
        <v>0</v>
      </c>
      <c r="AN12" s="73" t="n">
        <v>0</v>
      </c>
    </row>
    <row r="13" customFormat="false" ht="15" hidden="false" customHeight="false" outlineLevel="0" collapsed="false">
      <c r="A13" s="0" t="s">
        <v>403</v>
      </c>
      <c r="B13" s="72" t="b">
        <f aca="false">TRUE()</f>
        <v>1</v>
      </c>
      <c r="C13" s="73" t="n">
        <v>1</v>
      </c>
      <c r="D13" s="73" t="n">
        <v>4</v>
      </c>
      <c r="E13" s="74" t="b">
        <f aca="false">FALSE()</f>
        <v>0</v>
      </c>
      <c r="F13" s="0" t="n">
        <v>0</v>
      </c>
      <c r="G13" s="0" t="n">
        <v>0</v>
      </c>
      <c r="H13" s="72" t="b">
        <f aca="false">FALSE()</f>
        <v>0</v>
      </c>
      <c r="I13" s="73" t="n">
        <v>0</v>
      </c>
      <c r="J13" s="73" t="n">
        <v>0</v>
      </c>
      <c r="K13" s="74" t="b">
        <f aca="false">FALSE()</f>
        <v>0</v>
      </c>
      <c r="L13" s="0" t="n">
        <v>0</v>
      </c>
      <c r="M13" s="0" t="n">
        <v>0</v>
      </c>
      <c r="N13" s="72" t="b">
        <f aca="false">TRUE()</f>
        <v>1</v>
      </c>
      <c r="O13" s="73" t="n">
        <v>1</v>
      </c>
      <c r="P13" s="73" t="n">
        <v>4</v>
      </c>
      <c r="Q13" s="74" t="b">
        <f aca="false">TRUE()</f>
        <v>1</v>
      </c>
      <c r="R13" s="0" t="n">
        <v>1</v>
      </c>
      <c r="S13" s="0" t="n">
        <v>1</v>
      </c>
      <c r="T13" s="72" t="b">
        <f aca="false">TRUE()</f>
        <v>1</v>
      </c>
      <c r="U13" s="73" t="n">
        <v>1</v>
      </c>
      <c r="V13" s="73" t="n">
        <v>4</v>
      </c>
      <c r="W13" s="74" t="b">
        <f aca="false">FALSE()</f>
        <v>0</v>
      </c>
      <c r="X13" s="0" t="n">
        <v>0</v>
      </c>
      <c r="Y13" s="0" t="n">
        <v>0</v>
      </c>
      <c r="Z13" s="72" t="b">
        <f aca="false">FALSE()</f>
        <v>0</v>
      </c>
      <c r="AA13" s="73" t="n">
        <v>0</v>
      </c>
      <c r="AB13" s="73" t="n">
        <v>0</v>
      </c>
      <c r="AC13" s="74" t="b">
        <f aca="false">FALSE()</f>
        <v>0</v>
      </c>
      <c r="AD13" s="0" t="n">
        <v>0</v>
      </c>
      <c r="AE13" s="0" t="n">
        <v>0</v>
      </c>
      <c r="AF13" s="72" t="b">
        <f aca="false">TRUE()</f>
        <v>1</v>
      </c>
      <c r="AG13" s="73" t="n">
        <v>3</v>
      </c>
      <c r="AH13" s="73" t="n">
        <v>10</v>
      </c>
      <c r="AI13" s="74" t="b">
        <f aca="false">FALSE()</f>
        <v>0</v>
      </c>
      <c r="AJ13" s="0" t="n">
        <v>0</v>
      </c>
      <c r="AK13" s="0" t="n">
        <v>0</v>
      </c>
      <c r="AL13" s="72" t="b">
        <f aca="false">FALSE()</f>
        <v>0</v>
      </c>
      <c r="AM13" s="73" t="n">
        <v>0</v>
      </c>
      <c r="AN13" s="73" t="n">
        <v>0</v>
      </c>
    </row>
    <row r="14" customFormat="false" ht="15" hidden="false" customHeight="false" outlineLevel="0" collapsed="false">
      <c r="A14" s="0" t="s">
        <v>404</v>
      </c>
      <c r="B14" s="72" t="b">
        <f aca="false">TRUE()</f>
        <v>1</v>
      </c>
      <c r="C14" s="73" t="n">
        <v>1</v>
      </c>
      <c r="D14" s="73" t="n">
        <v>4</v>
      </c>
      <c r="E14" s="74" t="b">
        <f aca="false">FALSE()</f>
        <v>0</v>
      </c>
      <c r="F14" s="0" t="n">
        <v>0</v>
      </c>
      <c r="G14" s="0" t="n">
        <v>0</v>
      </c>
      <c r="H14" s="72" t="b">
        <f aca="false">TRUE()</f>
        <v>1</v>
      </c>
      <c r="I14" s="73" t="n">
        <v>2</v>
      </c>
      <c r="J14" s="73" t="n">
        <v>6</v>
      </c>
      <c r="K14" s="74" t="b">
        <f aca="false">FALSE()</f>
        <v>0</v>
      </c>
      <c r="L14" s="0" t="n">
        <v>0</v>
      </c>
      <c r="M14" s="0" t="n">
        <v>0</v>
      </c>
      <c r="N14" s="72" t="b">
        <f aca="false">TRUE()</f>
        <v>1</v>
      </c>
      <c r="O14" s="73" t="n">
        <v>1</v>
      </c>
      <c r="P14" s="73" t="n">
        <v>4</v>
      </c>
      <c r="Q14" s="74" t="b">
        <f aca="false">FALSE()</f>
        <v>0</v>
      </c>
      <c r="R14" s="0" t="n">
        <v>0</v>
      </c>
      <c r="S14" s="0" t="n">
        <v>0</v>
      </c>
      <c r="T14" s="72" t="b">
        <f aca="false">FALSE()</f>
        <v>0</v>
      </c>
      <c r="U14" s="73" t="n">
        <v>0</v>
      </c>
      <c r="V14" s="73" t="n">
        <v>0</v>
      </c>
      <c r="W14" s="74" t="b">
        <f aca="false">TRUE()</f>
        <v>1</v>
      </c>
      <c r="X14" s="0" t="n">
        <v>1</v>
      </c>
      <c r="Y14" s="0" t="n">
        <v>4</v>
      </c>
      <c r="Z14" s="72" t="b">
        <f aca="false">TRUE()</f>
        <v>1</v>
      </c>
      <c r="AA14" s="73" t="n">
        <v>2</v>
      </c>
      <c r="AB14" s="73" t="n">
        <v>5</v>
      </c>
      <c r="AC14" s="74" t="b">
        <f aca="false">TRUE()</f>
        <v>1</v>
      </c>
      <c r="AD14" s="0" t="n">
        <v>2</v>
      </c>
      <c r="AE14" s="0" t="n">
        <v>8</v>
      </c>
      <c r="AF14" s="72" t="b">
        <f aca="false">FALSE()</f>
        <v>0</v>
      </c>
      <c r="AG14" s="73" t="n">
        <v>0</v>
      </c>
      <c r="AH14" s="73" t="n">
        <v>0</v>
      </c>
      <c r="AI14" s="74" t="b">
        <f aca="false">FALSE()</f>
        <v>0</v>
      </c>
      <c r="AJ14" s="0" t="n">
        <v>0</v>
      </c>
      <c r="AK14" s="0" t="n">
        <v>0</v>
      </c>
      <c r="AL14" s="72" t="b">
        <f aca="false">FALSE()</f>
        <v>0</v>
      </c>
      <c r="AM14" s="73" t="n">
        <v>0</v>
      </c>
      <c r="AN14" s="73" t="n">
        <v>0</v>
      </c>
    </row>
    <row r="15" customFormat="false" ht="15" hidden="false" customHeight="false" outlineLevel="0" collapsed="false">
      <c r="A15" s="0" t="s">
        <v>405</v>
      </c>
      <c r="B15" s="72" t="b">
        <f aca="false">FALSE()</f>
        <v>0</v>
      </c>
      <c r="C15" s="73" t="n">
        <v>0</v>
      </c>
      <c r="D15" s="73" t="n">
        <v>0</v>
      </c>
      <c r="E15" s="74" t="b">
        <f aca="false">FALSE()</f>
        <v>0</v>
      </c>
      <c r="F15" s="0" t="n">
        <v>0</v>
      </c>
      <c r="G15" s="0" t="n">
        <v>0</v>
      </c>
      <c r="H15" s="72" t="b">
        <f aca="false">FALSE()</f>
        <v>0</v>
      </c>
      <c r="I15" s="73" t="n">
        <v>0</v>
      </c>
      <c r="J15" s="73" t="n">
        <v>0</v>
      </c>
      <c r="K15" s="74" t="b">
        <f aca="false">FALSE()</f>
        <v>0</v>
      </c>
      <c r="L15" s="0" t="n">
        <v>0</v>
      </c>
      <c r="M15" s="0" t="n">
        <v>0</v>
      </c>
      <c r="N15" s="72" t="b">
        <f aca="false">TRUE()</f>
        <v>1</v>
      </c>
      <c r="O15" s="73" t="n">
        <v>1</v>
      </c>
      <c r="P15" s="73" t="n">
        <v>3</v>
      </c>
      <c r="Q15" s="74" t="b">
        <f aca="false">TRUE()</f>
        <v>1</v>
      </c>
      <c r="R15" s="0" t="n">
        <v>1</v>
      </c>
      <c r="S15" s="0" t="n">
        <v>4</v>
      </c>
      <c r="T15" s="72" t="b">
        <f aca="false">TRUE()</f>
        <v>1</v>
      </c>
      <c r="U15" s="73" t="n">
        <v>1</v>
      </c>
      <c r="V15" s="73" t="n">
        <v>3</v>
      </c>
      <c r="W15" s="74" t="b">
        <f aca="false">FALSE()</f>
        <v>0</v>
      </c>
      <c r="X15" s="0" t="n">
        <v>0</v>
      </c>
      <c r="Y15" s="0" t="n">
        <v>0</v>
      </c>
      <c r="Z15" s="72" t="b">
        <f aca="false">TRUE()</f>
        <v>1</v>
      </c>
      <c r="AA15" s="73" t="n">
        <v>1</v>
      </c>
      <c r="AB15" s="73" t="n">
        <v>1</v>
      </c>
      <c r="AC15" s="74" t="b">
        <f aca="false">FALSE()</f>
        <v>0</v>
      </c>
      <c r="AD15" s="0" t="n">
        <v>0</v>
      </c>
      <c r="AE15" s="0" t="n">
        <v>0</v>
      </c>
      <c r="AF15" s="72" t="b">
        <f aca="false">FALSE()</f>
        <v>0</v>
      </c>
      <c r="AG15" s="73" t="n">
        <v>0</v>
      </c>
      <c r="AH15" s="73" t="n">
        <v>0</v>
      </c>
      <c r="AI15" s="74" t="b">
        <f aca="false">FALSE()</f>
        <v>0</v>
      </c>
      <c r="AJ15" s="0" t="n">
        <v>0</v>
      </c>
      <c r="AK15" s="0" t="n">
        <v>0</v>
      </c>
      <c r="AL15" s="72" t="b">
        <f aca="false">FALSE()</f>
        <v>0</v>
      </c>
      <c r="AM15" s="73" t="n">
        <v>0</v>
      </c>
      <c r="AN15" s="73" t="n">
        <v>0</v>
      </c>
    </row>
    <row r="16" customFormat="false" ht="15" hidden="false" customHeight="false" outlineLevel="0" collapsed="false">
      <c r="A16" s="0" t="s">
        <v>406</v>
      </c>
      <c r="B16" s="72" t="b">
        <f aca="false">FALSE()</f>
        <v>0</v>
      </c>
      <c r="C16" s="73" t="n">
        <v>0</v>
      </c>
      <c r="D16" s="73" t="n">
        <v>0</v>
      </c>
      <c r="E16" s="74" t="b">
        <f aca="false">FALSE()</f>
        <v>0</v>
      </c>
      <c r="F16" s="0" t="n">
        <v>0</v>
      </c>
      <c r="G16" s="0" t="n">
        <v>0</v>
      </c>
      <c r="H16" s="72" t="b">
        <f aca="false">FALSE()</f>
        <v>0</v>
      </c>
      <c r="I16" s="73" t="n">
        <v>0</v>
      </c>
      <c r="J16" s="73" t="n">
        <v>0</v>
      </c>
      <c r="K16" s="74" t="b">
        <f aca="false">FALSE()</f>
        <v>0</v>
      </c>
      <c r="L16" s="0" t="n">
        <v>0</v>
      </c>
      <c r="M16" s="0" t="n">
        <v>0</v>
      </c>
      <c r="N16" s="72" t="b">
        <f aca="false">FALSE()</f>
        <v>0</v>
      </c>
      <c r="O16" s="73" t="n">
        <v>0</v>
      </c>
      <c r="P16" s="73" t="n">
        <v>0</v>
      </c>
      <c r="Q16" s="74" t="b">
        <f aca="false">FALSE()</f>
        <v>0</v>
      </c>
      <c r="R16" s="0" t="n">
        <v>0</v>
      </c>
      <c r="S16" s="0" t="n">
        <v>0</v>
      </c>
      <c r="T16" s="72" t="b">
        <f aca="false">TRUE()</f>
        <v>1</v>
      </c>
      <c r="U16" s="73" t="n">
        <v>1</v>
      </c>
      <c r="V16" s="73" t="n">
        <v>2</v>
      </c>
      <c r="W16" s="74" t="b">
        <f aca="false">FALSE()</f>
        <v>0</v>
      </c>
      <c r="X16" s="0" t="n">
        <v>0</v>
      </c>
      <c r="Y16" s="0" t="n">
        <v>0</v>
      </c>
      <c r="Z16" s="72" t="b">
        <f aca="false">FALSE()</f>
        <v>0</v>
      </c>
      <c r="AA16" s="73" t="n">
        <v>0</v>
      </c>
      <c r="AB16" s="73" t="n">
        <v>0</v>
      </c>
      <c r="AC16" s="74" t="b">
        <f aca="false">FALSE()</f>
        <v>0</v>
      </c>
      <c r="AD16" s="0" t="n">
        <v>0</v>
      </c>
      <c r="AE16" s="0" t="n">
        <v>0</v>
      </c>
      <c r="AF16" s="72" t="b">
        <f aca="false">FALSE()</f>
        <v>0</v>
      </c>
      <c r="AG16" s="73" t="n">
        <v>0</v>
      </c>
      <c r="AH16" s="73" t="n">
        <v>0</v>
      </c>
      <c r="AI16" s="74" t="b">
        <f aca="false">FALSE()</f>
        <v>0</v>
      </c>
      <c r="AJ16" s="0" t="n">
        <v>0</v>
      </c>
      <c r="AK16" s="0" t="n">
        <v>0</v>
      </c>
      <c r="AL16" s="72" t="b">
        <f aca="false">TRUE()</f>
        <v>1</v>
      </c>
      <c r="AM16" s="73" t="n">
        <v>1</v>
      </c>
      <c r="AN16" s="73" t="n">
        <v>4</v>
      </c>
    </row>
    <row r="17" customFormat="false" ht="15" hidden="false" customHeight="false" outlineLevel="0" collapsed="false">
      <c r="A17" s="0" t="s">
        <v>407</v>
      </c>
      <c r="B17" s="72" t="b">
        <f aca="false">FALSE()</f>
        <v>0</v>
      </c>
      <c r="C17" s="73" t="n">
        <v>0</v>
      </c>
      <c r="D17" s="73" t="n">
        <v>0</v>
      </c>
      <c r="E17" s="74" t="b">
        <f aca="false">TRUE()</f>
        <v>1</v>
      </c>
      <c r="F17" s="0" t="n">
        <v>1</v>
      </c>
      <c r="G17" s="0" t="n">
        <v>4</v>
      </c>
      <c r="H17" s="72" t="b">
        <f aca="false">FALSE()</f>
        <v>0</v>
      </c>
      <c r="I17" s="73" t="n">
        <v>0</v>
      </c>
      <c r="J17" s="73" t="n">
        <v>0</v>
      </c>
      <c r="K17" s="74" t="b">
        <f aca="false">FALSE()</f>
        <v>0</v>
      </c>
      <c r="L17" s="0" t="n">
        <v>0</v>
      </c>
      <c r="M17" s="0" t="n">
        <v>0</v>
      </c>
      <c r="N17" s="72" t="b">
        <f aca="false">FALSE()</f>
        <v>0</v>
      </c>
      <c r="O17" s="73" t="n">
        <v>0</v>
      </c>
      <c r="P17" s="73" t="n">
        <v>0</v>
      </c>
      <c r="Q17" s="74" t="b">
        <f aca="false">FALSE()</f>
        <v>0</v>
      </c>
      <c r="R17" s="0" t="n">
        <v>0</v>
      </c>
      <c r="S17" s="0" t="n">
        <v>0</v>
      </c>
      <c r="T17" s="72" t="b">
        <f aca="false">FALSE()</f>
        <v>0</v>
      </c>
      <c r="U17" s="73" t="n">
        <v>0</v>
      </c>
      <c r="V17" s="73" t="n">
        <v>0</v>
      </c>
      <c r="W17" s="74" t="b">
        <f aca="false">FALSE()</f>
        <v>0</v>
      </c>
      <c r="X17" s="0" t="n">
        <v>0</v>
      </c>
      <c r="Y17" s="0" t="n">
        <v>0</v>
      </c>
      <c r="Z17" s="72" t="b">
        <f aca="false">TRUE()</f>
        <v>1</v>
      </c>
      <c r="AA17" s="73" t="n">
        <v>1</v>
      </c>
      <c r="AB17" s="73" t="n">
        <v>4</v>
      </c>
      <c r="AC17" s="74" t="b">
        <f aca="false">TRUE()</f>
        <v>1</v>
      </c>
      <c r="AD17" s="0" t="n">
        <v>2</v>
      </c>
      <c r="AE17" s="0" t="n">
        <v>5</v>
      </c>
      <c r="AF17" s="72" t="b">
        <f aca="false">TRUE()</f>
        <v>1</v>
      </c>
      <c r="AG17" s="73" t="n">
        <v>1</v>
      </c>
      <c r="AH17" s="73" t="n">
        <v>4</v>
      </c>
      <c r="AI17" s="74" t="b">
        <f aca="false">TRUE()</f>
        <v>1</v>
      </c>
      <c r="AJ17" s="0" t="n">
        <v>1</v>
      </c>
      <c r="AK17" s="0" t="n">
        <v>3</v>
      </c>
      <c r="AL17" s="72" t="b">
        <f aca="false">TRUE()</f>
        <v>1</v>
      </c>
      <c r="AM17" s="73" t="n">
        <v>1</v>
      </c>
      <c r="AN17" s="73" t="n">
        <v>4</v>
      </c>
    </row>
    <row r="18" customFormat="false" ht="15" hidden="false" customHeight="false" outlineLevel="0" collapsed="false">
      <c r="A18" s="0" t="s">
        <v>408</v>
      </c>
      <c r="B18" s="72" t="b">
        <f aca="false">TRUE()</f>
        <v>1</v>
      </c>
      <c r="C18" s="73" t="n">
        <v>1</v>
      </c>
      <c r="D18" s="73" t="n">
        <v>4</v>
      </c>
      <c r="E18" s="74" t="b">
        <f aca="false">FALSE()</f>
        <v>0</v>
      </c>
      <c r="F18" s="0" t="n">
        <v>0</v>
      </c>
      <c r="G18" s="0" t="n">
        <v>0</v>
      </c>
      <c r="H18" s="72" t="b">
        <f aca="false">TRUE()</f>
        <v>1</v>
      </c>
      <c r="I18" s="73" t="n">
        <v>1</v>
      </c>
      <c r="J18" s="73" t="n">
        <v>2</v>
      </c>
      <c r="K18" s="74" t="b">
        <f aca="false">FALSE()</f>
        <v>0</v>
      </c>
      <c r="L18" s="0" t="n">
        <v>0</v>
      </c>
      <c r="M18" s="0" t="n">
        <v>0</v>
      </c>
      <c r="N18" s="72" t="b">
        <f aca="false">FALSE()</f>
        <v>0</v>
      </c>
      <c r="O18" s="73" t="n">
        <v>0</v>
      </c>
      <c r="P18" s="73" t="n">
        <v>0</v>
      </c>
      <c r="Q18" s="74" t="b">
        <f aca="false">FALSE()</f>
        <v>0</v>
      </c>
      <c r="R18" s="0" t="n">
        <v>0</v>
      </c>
      <c r="S18" s="0" t="n">
        <v>0</v>
      </c>
      <c r="T18" s="72" t="b">
        <f aca="false">TRUE()</f>
        <v>1</v>
      </c>
      <c r="U18" s="73" t="n">
        <v>1</v>
      </c>
      <c r="V18" s="73" t="n">
        <v>4</v>
      </c>
      <c r="W18" s="74" t="b">
        <f aca="false">FALSE()</f>
        <v>0</v>
      </c>
      <c r="X18" s="0" t="n">
        <v>0</v>
      </c>
      <c r="Y18" s="0" t="n">
        <v>0</v>
      </c>
      <c r="Z18" s="72" t="b">
        <f aca="false">FALSE()</f>
        <v>0</v>
      </c>
      <c r="AA18" s="73" t="n">
        <v>0</v>
      </c>
      <c r="AB18" s="73" t="n">
        <v>0</v>
      </c>
      <c r="AC18" s="74" t="b">
        <f aca="false">TRUE()</f>
        <v>1</v>
      </c>
      <c r="AD18" s="0" t="n">
        <v>2</v>
      </c>
      <c r="AE18" s="0" t="n">
        <v>5</v>
      </c>
      <c r="AF18" s="72" t="b">
        <f aca="false">FALSE()</f>
        <v>0</v>
      </c>
      <c r="AG18" s="73" t="n">
        <v>0</v>
      </c>
      <c r="AH18" s="73" t="n">
        <v>0</v>
      </c>
      <c r="AI18" s="74" t="b">
        <f aca="false">TRUE()</f>
        <v>1</v>
      </c>
      <c r="AJ18" s="0" t="n">
        <v>2</v>
      </c>
      <c r="AK18" s="0" t="n">
        <v>8</v>
      </c>
      <c r="AL18" s="72" t="b">
        <f aca="false">TRUE()</f>
        <v>1</v>
      </c>
      <c r="AM18" s="73" t="n">
        <v>1</v>
      </c>
      <c r="AN18" s="73" t="n">
        <v>3</v>
      </c>
    </row>
    <row r="19" customFormat="false" ht="15" hidden="false" customHeight="false" outlineLevel="0" collapsed="false">
      <c r="A19" s="0" t="s">
        <v>409</v>
      </c>
      <c r="B19" s="72" t="b">
        <f aca="false">TRUE()</f>
        <v>1</v>
      </c>
      <c r="C19" s="73" t="n">
        <v>1</v>
      </c>
      <c r="D19" s="73" t="n">
        <v>4</v>
      </c>
      <c r="E19" s="74" t="b">
        <f aca="false">FALSE()</f>
        <v>0</v>
      </c>
      <c r="F19" s="0" t="n">
        <v>0</v>
      </c>
      <c r="G19" s="0" t="n">
        <v>0</v>
      </c>
      <c r="H19" s="72" t="b">
        <f aca="false">TRUE()</f>
        <v>1</v>
      </c>
      <c r="I19" s="73" t="n">
        <v>1</v>
      </c>
      <c r="J19" s="73" t="n">
        <v>2</v>
      </c>
      <c r="K19" s="74" t="b">
        <f aca="false">TRUE()</f>
        <v>1</v>
      </c>
      <c r="L19" s="0" t="n">
        <v>1</v>
      </c>
      <c r="M19" s="0" t="n">
        <v>3</v>
      </c>
      <c r="N19" s="72" t="b">
        <f aca="false">TRUE()</f>
        <v>1</v>
      </c>
      <c r="O19" s="73" t="n">
        <v>5</v>
      </c>
      <c r="P19" s="73" t="n">
        <v>13</v>
      </c>
      <c r="Q19" s="74" t="b">
        <f aca="false">FALSE()</f>
        <v>0</v>
      </c>
      <c r="R19" s="0" t="n">
        <v>0</v>
      </c>
      <c r="S19" s="0" t="n">
        <v>0</v>
      </c>
      <c r="T19" s="72" t="b">
        <f aca="false">FALSE()</f>
        <v>0</v>
      </c>
      <c r="U19" s="73" t="n">
        <v>0</v>
      </c>
      <c r="V19" s="73" t="n">
        <v>0</v>
      </c>
      <c r="W19" s="74" t="b">
        <f aca="false">FALSE()</f>
        <v>0</v>
      </c>
      <c r="X19" s="0" t="n">
        <v>0</v>
      </c>
      <c r="Y19" s="0" t="n">
        <v>0</v>
      </c>
      <c r="Z19" s="72" t="b">
        <f aca="false">TRUE()</f>
        <v>1</v>
      </c>
      <c r="AA19" s="73" t="n">
        <v>1</v>
      </c>
      <c r="AB19" s="73" t="n">
        <v>3</v>
      </c>
      <c r="AC19" s="74" t="b">
        <f aca="false">FALSE()</f>
        <v>0</v>
      </c>
      <c r="AD19" s="0" t="n">
        <v>0</v>
      </c>
      <c r="AE19" s="0" t="n">
        <v>0</v>
      </c>
      <c r="AF19" s="72" t="b">
        <f aca="false">FALSE()</f>
        <v>0</v>
      </c>
      <c r="AG19" s="73" t="n">
        <v>0</v>
      </c>
      <c r="AH19" s="73" t="n">
        <v>0</v>
      </c>
      <c r="AI19" s="74" t="b">
        <f aca="false">TRUE()</f>
        <v>1</v>
      </c>
      <c r="AJ19" s="0" t="n">
        <v>1</v>
      </c>
      <c r="AK19" s="0" t="n">
        <v>3</v>
      </c>
      <c r="AL19" s="72" t="b">
        <f aca="false">FALSE()</f>
        <v>0</v>
      </c>
      <c r="AM19" s="73" t="n">
        <v>0</v>
      </c>
      <c r="AN19" s="73" t="n">
        <v>0</v>
      </c>
    </row>
    <row r="20" customFormat="false" ht="15" hidden="false" customHeight="false" outlineLevel="0" collapsed="false">
      <c r="A20" s="0" t="s">
        <v>410</v>
      </c>
      <c r="B20" s="72" t="b">
        <f aca="false">FALSE()</f>
        <v>0</v>
      </c>
      <c r="C20" s="73" t="n">
        <v>0</v>
      </c>
      <c r="D20" s="73" t="n">
        <v>0</v>
      </c>
      <c r="E20" s="74" t="b">
        <f aca="false">FALSE()</f>
        <v>0</v>
      </c>
      <c r="F20" s="0" t="n">
        <v>0</v>
      </c>
      <c r="G20" s="0" t="n">
        <v>0</v>
      </c>
      <c r="H20" s="72" t="b">
        <f aca="false">FALSE()</f>
        <v>0</v>
      </c>
      <c r="I20" s="73" t="n">
        <v>0</v>
      </c>
      <c r="J20" s="73" t="n">
        <v>0</v>
      </c>
      <c r="K20" s="74" t="b">
        <f aca="false">FALSE()</f>
        <v>0</v>
      </c>
      <c r="L20" s="0" t="n">
        <v>0</v>
      </c>
      <c r="M20" s="0" t="n">
        <v>0</v>
      </c>
      <c r="N20" s="72" t="b">
        <f aca="false">FALSE()</f>
        <v>0</v>
      </c>
      <c r="O20" s="73" t="n">
        <v>0</v>
      </c>
      <c r="P20" s="73" t="n">
        <v>0</v>
      </c>
      <c r="Q20" s="74" t="b">
        <f aca="false">FALSE()</f>
        <v>0</v>
      </c>
      <c r="R20" s="0" t="n">
        <v>0</v>
      </c>
      <c r="S20" s="0" t="n">
        <v>0</v>
      </c>
      <c r="T20" s="72" t="b">
        <f aca="false">FALSE()</f>
        <v>0</v>
      </c>
      <c r="U20" s="73" t="n">
        <v>0</v>
      </c>
      <c r="V20" s="73" t="n">
        <v>0</v>
      </c>
      <c r="W20" s="74" t="b">
        <f aca="false">FALSE()</f>
        <v>0</v>
      </c>
      <c r="X20" s="0" t="n">
        <v>0</v>
      </c>
      <c r="Y20" s="0" t="n">
        <v>0</v>
      </c>
      <c r="Z20" s="72" t="b">
        <f aca="false">FALSE()</f>
        <v>0</v>
      </c>
      <c r="AA20" s="73" t="n">
        <v>0</v>
      </c>
      <c r="AB20" s="73" t="n">
        <v>0</v>
      </c>
      <c r="AC20" s="74" t="b">
        <f aca="false">FALSE()</f>
        <v>0</v>
      </c>
      <c r="AD20" s="0" t="n">
        <v>0</v>
      </c>
      <c r="AE20" s="0" t="n">
        <v>0</v>
      </c>
      <c r="AF20" s="72" t="b">
        <f aca="false">FALSE()</f>
        <v>0</v>
      </c>
      <c r="AG20" s="73" t="n">
        <v>0</v>
      </c>
      <c r="AH20" s="73" t="n">
        <v>0</v>
      </c>
      <c r="AI20" s="74" t="b">
        <f aca="false">FALSE()</f>
        <v>0</v>
      </c>
      <c r="AJ20" s="0" t="n">
        <v>0</v>
      </c>
      <c r="AK20" s="0" t="n">
        <v>0</v>
      </c>
      <c r="AL20" s="72" t="b">
        <f aca="false">FALSE()</f>
        <v>0</v>
      </c>
      <c r="AM20" s="73" t="n">
        <v>0</v>
      </c>
      <c r="AN20" s="73" t="n">
        <v>0</v>
      </c>
    </row>
  </sheetData>
  <mergeCells count="13">
    <mergeCell ref="B2:D2"/>
    <mergeCell ref="E2:G2"/>
    <mergeCell ref="H2:J2"/>
    <mergeCell ref="K2:M2"/>
    <mergeCell ref="N2:P2"/>
    <mergeCell ref="Q2:S2"/>
    <mergeCell ref="T2:V2"/>
    <mergeCell ref="W2:Y2"/>
    <mergeCell ref="Z2:AB2"/>
    <mergeCell ref="AC2:AE2"/>
    <mergeCell ref="AF2:AH2"/>
    <mergeCell ref="AI2:AK2"/>
    <mergeCell ref="AL2:AN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9"/>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C4" activeCellId="0" sqref="C4"/>
    </sheetView>
  </sheetViews>
  <sheetFormatPr defaultColWidth="8.57421875" defaultRowHeight="15" zeroHeight="false" outlineLevelRow="0" outlineLevelCol="0"/>
  <cols>
    <col collapsed="false" customWidth="true" hidden="false" outlineLevel="0" max="1" min="1" style="75" width="9.71"/>
    <col collapsed="false" customWidth="true" hidden="false" outlineLevel="0" max="2" min="2" style="76" width="33.14"/>
    <col collapsed="false" customWidth="true" hidden="false" outlineLevel="0" max="3" min="3" style="76" width="43.57"/>
    <col collapsed="false" customWidth="true" hidden="false" outlineLevel="0" max="4" min="4" style="76" width="81.71"/>
    <col collapsed="false" customWidth="true" hidden="false" outlineLevel="0" max="5" min="5" style="76" width="104"/>
  </cols>
  <sheetData>
    <row r="1" s="1" customFormat="true" ht="15" hidden="false" customHeight="false" outlineLevel="0" collapsed="false">
      <c r="A1" s="77" t="s">
        <v>411</v>
      </c>
      <c r="B1" s="78" t="s">
        <v>412</v>
      </c>
      <c r="C1" s="78" t="s">
        <v>413</v>
      </c>
      <c r="D1" s="78" t="s">
        <v>414</v>
      </c>
      <c r="E1" s="78" t="s">
        <v>415</v>
      </c>
    </row>
    <row r="2" s="62" customFormat="true" ht="26.1" hidden="false" customHeight="false" outlineLevel="0" collapsed="false">
      <c r="A2" s="79" t="s">
        <v>393</v>
      </c>
      <c r="B2" s="80" t="s">
        <v>416</v>
      </c>
      <c r="C2" s="80" t="s">
        <v>417</v>
      </c>
      <c r="D2" s="80" t="s">
        <v>418</v>
      </c>
      <c r="E2" s="80" t="s">
        <v>419</v>
      </c>
    </row>
    <row r="3" customFormat="false" ht="26.1" hidden="false" customHeight="false" outlineLevel="0" collapsed="false">
      <c r="A3" s="75" t="s">
        <v>394</v>
      </c>
      <c r="B3" s="76" t="s">
        <v>420</v>
      </c>
      <c r="C3" s="76" t="s">
        <v>421</v>
      </c>
      <c r="D3" s="76" t="s">
        <v>422</v>
      </c>
      <c r="E3" s="76" t="s">
        <v>423</v>
      </c>
    </row>
    <row r="4" s="62" customFormat="true" ht="26.1" hidden="false" customHeight="false" outlineLevel="0" collapsed="false">
      <c r="A4" s="79" t="s">
        <v>395</v>
      </c>
      <c r="B4" s="80" t="s">
        <v>424</v>
      </c>
      <c r="C4" s="80" t="s">
        <v>425</v>
      </c>
      <c r="D4" s="80" t="s">
        <v>426</v>
      </c>
      <c r="E4" s="80" t="s">
        <v>427</v>
      </c>
    </row>
    <row r="5" customFormat="false" ht="38.6" hidden="false" customHeight="false" outlineLevel="0" collapsed="false">
      <c r="A5" s="75" t="s">
        <v>396</v>
      </c>
      <c r="B5" s="76" t="s">
        <v>428</v>
      </c>
      <c r="C5" s="76" t="s">
        <v>429</v>
      </c>
      <c r="D5" s="76" t="s">
        <v>430</v>
      </c>
      <c r="E5" s="76" t="s">
        <v>431</v>
      </c>
    </row>
    <row r="6" s="62" customFormat="true" ht="26.1" hidden="false" customHeight="false" outlineLevel="0" collapsed="false">
      <c r="A6" s="79" t="s">
        <v>397</v>
      </c>
      <c r="B6" s="80" t="s">
        <v>432</v>
      </c>
      <c r="C6" s="80" t="s">
        <v>433</v>
      </c>
      <c r="D6" s="80" t="s">
        <v>434</v>
      </c>
      <c r="E6" s="80" t="s">
        <v>435</v>
      </c>
    </row>
    <row r="7" customFormat="false" ht="38.6" hidden="false" customHeight="false" outlineLevel="0" collapsed="false">
      <c r="A7" s="75" t="s">
        <v>398</v>
      </c>
      <c r="B7" s="76" t="s">
        <v>436</v>
      </c>
      <c r="C7" s="76" t="s">
        <v>437</v>
      </c>
      <c r="D7" s="76" t="s">
        <v>438</v>
      </c>
      <c r="E7" s="76" t="s">
        <v>439</v>
      </c>
    </row>
    <row r="8" s="62" customFormat="true" ht="26.1" hidden="false" customHeight="false" outlineLevel="0" collapsed="false">
      <c r="A8" s="79" t="s">
        <v>399</v>
      </c>
      <c r="B8" s="80" t="s">
        <v>440</v>
      </c>
      <c r="C8" s="80" t="s">
        <v>441</v>
      </c>
      <c r="D8" s="80" t="s">
        <v>442</v>
      </c>
      <c r="E8" s="80" t="s">
        <v>443</v>
      </c>
    </row>
    <row r="9" customFormat="false" ht="38.6" hidden="false" customHeight="false" outlineLevel="0" collapsed="false">
      <c r="A9" s="75" t="s">
        <v>400</v>
      </c>
      <c r="B9" s="76" t="s">
        <v>444</v>
      </c>
      <c r="C9" s="76" t="s">
        <v>445</v>
      </c>
      <c r="D9" s="76" t="s">
        <v>446</v>
      </c>
      <c r="E9" s="76" t="s">
        <v>447</v>
      </c>
    </row>
    <row r="10" s="62" customFormat="true" ht="38.6" hidden="false" customHeight="false" outlineLevel="0" collapsed="false">
      <c r="A10" s="79" t="s">
        <v>401</v>
      </c>
      <c r="B10" s="80" t="s">
        <v>448</v>
      </c>
      <c r="C10" s="80" t="s">
        <v>449</v>
      </c>
      <c r="D10" s="80" t="s">
        <v>450</v>
      </c>
      <c r="E10" s="80" t="s">
        <v>451</v>
      </c>
    </row>
    <row r="11" customFormat="false" ht="38.6" hidden="false" customHeight="false" outlineLevel="0" collapsed="false">
      <c r="A11" s="75" t="s">
        <v>402</v>
      </c>
      <c r="B11" s="76" t="s">
        <v>452</v>
      </c>
      <c r="C11" s="76" t="s">
        <v>453</v>
      </c>
      <c r="D11" s="76" t="s">
        <v>454</v>
      </c>
      <c r="E11" s="76" t="s">
        <v>455</v>
      </c>
    </row>
    <row r="12" s="62" customFormat="true" ht="51.1" hidden="false" customHeight="false" outlineLevel="0" collapsed="false">
      <c r="A12" s="79" t="s">
        <v>403</v>
      </c>
      <c r="B12" s="80" t="s">
        <v>456</v>
      </c>
      <c r="C12" s="80" t="s">
        <v>457</v>
      </c>
      <c r="D12" s="80" t="s">
        <v>458</v>
      </c>
      <c r="E12" s="80" t="s">
        <v>459</v>
      </c>
    </row>
    <row r="13" customFormat="false" ht="26.1" hidden="false" customHeight="false" outlineLevel="0" collapsed="false">
      <c r="A13" s="75" t="s">
        <v>404</v>
      </c>
      <c r="B13" s="76" t="s">
        <v>460</v>
      </c>
      <c r="C13" s="76" t="s">
        <v>461</v>
      </c>
      <c r="D13" s="76" t="s">
        <v>462</v>
      </c>
      <c r="E13" s="76" t="s">
        <v>463</v>
      </c>
    </row>
    <row r="14" s="62" customFormat="true" ht="38.6" hidden="false" customHeight="false" outlineLevel="0" collapsed="false">
      <c r="A14" s="79" t="s">
        <v>405</v>
      </c>
      <c r="B14" s="80" t="s">
        <v>464</v>
      </c>
      <c r="C14" s="80" t="s">
        <v>465</v>
      </c>
      <c r="D14" s="80" t="s">
        <v>466</v>
      </c>
      <c r="E14" s="80" t="s">
        <v>467</v>
      </c>
    </row>
    <row r="15" customFormat="false" ht="26.1" hidden="false" customHeight="false" outlineLevel="0" collapsed="false">
      <c r="A15" s="75" t="s">
        <v>406</v>
      </c>
      <c r="B15" s="76" t="s">
        <v>468</v>
      </c>
      <c r="C15" s="76" t="s">
        <v>469</v>
      </c>
      <c r="D15" s="76" t="s">
        <v>470</v>
      </c>
      <c r="E15" s="76" t="s">
        <v>471</v>
      </c>
    </row>
    <row r="16" s="62" customFormat="true" ht="38.6" hidden="false" customHeight="false" outlineLevel="0" collapsed="false">
      <c r="A16" s="79" t="s">
        <v>407</v>
      </c>
      <c r="B16" s="80" t="s">
        <v>472</v>
      </c>
      <c r="C16" s="80" t="s">
        <v>473</v>
      </c>
      <c r="D16" s="80" t="s">
        <v>474</v>
      </c>
      <c r="E16" s="80" t="s">
        <v>475</v>
      </c>
    </row>
    <row r="17" customFormat="false" ht="38.6" hidden="false" customHeight="false" outlineLevel="0" collapsed="false">
      <c r="A17" s="75" t="s">
        <v>408</v>
      </c>
      <c r="B17" s="76" t="s">
        <v>476</v>
      </c>
      <c r="C17" s="76" t="s">
        <v>477</v>
      </c>
      <c r="D17" s="76" t="s">
        <v>478</v>
      </c>
      <c r="E17" s="76" t="s">
        <v>479</v>
      </c>
    </row>
    <row r="18" s="62" customFormat="true" ht="51.1" hidden="false" customHeight="false" outlineLevel="0" collapsed="false">
      <c r="A18" s="79" t="s">
        <v>409</v>
      </c>
      <c r="B18" s="80" t="s">
        <v>480</v>
      </c>
      <c r="C18" s="80" t="s">
        <v>481</v>
      </c>
      <c r="D18" s="80" t="s">
        <v>482</v>
      </c>
      <c r="E18" s="80" t="s">
        <v>483</v>
      </c>
    </row>
    <row r="19" customFormat="false" ht="26.1" hidden="false" customHeight="false" outlineLevel="0" collapsed="false">
      <c r="A19" s="75" t="s">
        <v>410</v>
      </c>
      <c r="B19" s="76" t="s">
        <v>484</v>
      </c>
      <c r="C19" s="76" t="s">
        <v>485</v>
      </c>
      <c r="D19" s="76" t="s">
        <v>486</v>
      </c>
      <c r="E19" s="76" t="s">
        <v>487</v>
      </c>
    </row>
  </sheetData>
  <printOptions headings="false" gridLines="false" gridLinesSet="true" horizontalCentered="false" verticalCentered="false"/>
  <pageMargins left="0" right="0" top="0" bottom="0"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4" activeCellId="0" sqref="C14"/>
    </sheetView>
  </sheetViews>
  <sheetFormatPr defaultColWidth="8.57421875" defaultRowHeight="15" zeroHeight="false" outlineLevelRow="0" outlineLevelCol="0"/>
  <cols>
    <col collapsed="false" customWidth="true" hidden="false" outlineLevel="0" max="1" min="1" style="0" width="4"/>
    <col collapsed="false" customWidth="true" hidden="false" outlineLevel="0" max="3" min="3" style="0" width="94.86"/>
    <col collapsed="false" customWidth="true" hidden="false" outlineLevel="0" max="4" min="4" style="0" width="113.29"/>
  </cols>
  <sheetData>
    <row r="1" customFormat="false" ht="26.1" hidden="false" customHeight="false" outlineLevel="0" collapsed="false">
      <c r="A1" s="1" t="s">
        <v>411</v>
      </c>
      <c r="B1" s="78" t="s">
        <v>488</v>
      </c>
      <c r="C1" s="1" t="s">
        <v>414</v>
      </c>
      <c r="D1" s="1" t="s">
        <v>415</v>
      </c>
    </row>
    <row r="2" customFormat="false" ht="15" hidden="false" customHeight="false" outlineLevel="0" collapsed="false">
      <c r="A2" s="0" t="n">
        <v>1</v>
      </c>
      <c r="B2" s="0" t="n">
        <v>7</v>
      </c>
      <c r="C2" s="0" t="s">
        <v>489</v>
      </c>
      <c r="D2" s="0" t="s">
        <v>490</v>
      </c>
    </row>
    <row r="3" customFormat="false" ht="15" hidden="false" customHeight="false" outlineLevel="0" collapsed="false">
      <c r="A3" s="0" t="n">
        <v>2</v>
      </c>
      <c r="B3" s="0" t="n">
        <v>8</v>
      </c>
      <c r="C3" s="0" t="s">
        <v>491</v>
      </c>
      <c r="D3" s="0" t="s">
        <v>492</v>
      </c>
    </row>
    <row r="4" customFormat="false" ht="15" hidden="false" customHeight="false" outlineLevel="0" collapsed="false">
      <c r="A4" s="0" t="n">
        <v>3</v>
      </c>
      <c r="B4" s="0" t="n">
        <v>9</v>
      </c>
      <c r="C4" s="0" t="s">
        <v>493</v>
      </c>
      <c r="D4" s="0" t="s">
        <v>494</v>
      </c>
    </row>
    <row r="5" customFormat="false" ht="15" hidden="false" customHeight="false" outlineLevel="0" collapsed="false">
      <c r="A5" s="0" t="n">
        <v>4</v>
      </c>
      <c r="B5" s="0" t="n">
        <v>10</v>
      </c>
      <c r="C5" s="0" t="s">
        <v>495</v>
      </c>
      <c r="D5" s="0" t="s">
        <v>496</v>
      </c>
    </row>
    <row r="6" customFormat="false" ht="15" hidden="false" customHeight="false" outlineLevel="0" collapsed="false">
      <c r="A6" s="0" t="n">
        <v>5</v>
      </c>
      <c r="B6" s="0" t="n">
        <v>11</v>
      </c>
      <c r="C6" s="0" t="s">
        <v>497</v>
      </c>
      <c r="D6" s="0" t="s">
        <v>498</v>
      </c>
    </row>
    <row r="7" customFormat="false" ht="15" hidden="false" customHeight="false" outlineLevel="0" collapsed="false">
      <c r="A7" s="0" t="n">
        <v>6</v>
      </c>
      <c r="B7" s="0" t="n">
        <v>12</v>
      </c>
      <c r="C7" s="0" t="s">
        <v>499</v>
      </c>
      <c r="D7" s="0" t="s">
        <v>500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I13" activeCellId="0" sqref="I13"/>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9.43"/>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86"/>
    <col collapsed="false" customWidth="true" hidden="false" outlineLevel="0" max="19" min="19" style="81" width="18.14"/>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n">
        <f aca="false">COUNTIF(C7:C100,"y")/(COUNTIF(C7:C100,"y")+COUNTIF(C7:C100,"n"))</f>
        <v>0.333333333333333</v>
      </c>
      <c r="D2" s="86" t="n">
        <f aca="false">COUNTIF(D7:D100,"y")/(COUNTIF(D7:D100,"y")+COUNTIF(D7:D100,"n"))</f>
        <v>0.642857142857143</v>
      </c>
      <c r="E2" s="86"/>
      <c r="F2" s="86" t="n">
        <f aca="false">COUNTIF(F7:F100,"y")/(COUNTIF(F7:F100,"y")+COUNTIF(F7:F100,"n"))</f>
        <v>0.807692307692308</v>
      </c>
      <c r="G2" s="86" t="n">
        <f aca="false">COUNTIF(G7:G100,"y")/(COUNTIF(G7:G100,"y")+COUNTIF(G7:G100,"n"))</f>
        <v>0.285714285714286</v>
      </c>
      <c r="H2" s="86"/>
      <c r="I2" s="86" t="n">
        <f aca="false">COUNTIF(I7:I100,"y")/(COUNTIF(I7:I100,"y")+COUNTIF(I7:I100,"n"))</f>
        <v>0.642857142857143</v>
      </c>
      <c r="J2" s="86"/>
      <c r="K2" s="86" t="n">
        <f aca="false">COUNTIF(K7:K100,"1")</f>
        <v>0</v>
      </c>
      <c r="L2" s="86" t="n">
        <f aca="false">COUNTIF(L7:L100,"y")/(COUNTIF(L7:L100,"y")+COUNTIF(L7:L100,"n"))</f>
        <v>0.538461538461538</v>
      </c>
      <c r="M2" s="86"/>
      <c r="O2" s="87" t="n">
        <f aca="false" t="array" ref="O2:O2">LOOKUP(2,1/(O:O&lt;&gt;""),O:O)</f>
        <v>55</v>
      </c>
      <c r="R2" s="83" t="n">
        <f aca="false">COUNTIF(R7:R100,"strategy")/2</f>
        <v>9</v>
      </c>
      <c r="S2" s="88" t="n">
        <f aca="false" t="array" ref="S2:S2">LOOKUP(2,1/(S:S&lt;&gt;""),S:S)-S7</f>
        <v>0.0288054513875926</v>
      </c>
      <c r="T2" s="85"/>
    </row>
    <row r="3" s="83" customFormat="true" ht="15" hidden="false" customHeight="false" outlineLevel="0" collapsed="false">
      <c r="B3" s="89"/>
      <c r="C3" s="89"/>
      <c r="D3" s="89"/>
      <c r="E3" s="89"/>
      <c r="F3" s="89"/>
      <c r="G3" s="89"/>
      <c r="H3" s="89"/>
      <c r="I3" s="89"/>
      <c r="J3" s="89"/>
      <c r="K3" s="86" t="n">
        <f aca="false">COUNTIF(K7:K100,"2")</f>
        <v>3</v>
      </c>
      <c r="L3" s="89"/>
      <c r="M3" s="89"/>
      <c r="R3" s="83" t="n">
        <f aca="false">COUNTIF(R7:R100,"frequency")/2</f>
        <v>16</v>
      </c>
      <c r="T3" s="85"/>
    </row>
    <row r="4" s="83" customFormat="true" ht="15" hidden="false" customHeight="false" outlineLevel="0" collapsed="false">
      <c r="B4" s="89"/>
      <c r="C4" s="89"/>
      <c r="D4" s="89"/>
      <c r="E4" s="89"/>
      <c r="F4" s="89"/>
      <c r="G4" s="89"/>
      <c r="H4" s="89"/>
      <c r="I4" s="89"/>
      <c r="J4" s="89"/>
      <c r="K4" s="86" t="n">
        <f aca="false">COUNTIF(K7:K100,"3")</f>
        <v>23</v>
      </c>
      <c r="L4" s="89"/>
      <c r="M4" s="89"/>
      <c r="R4" s="83" t="n">
        <f aca="false">CEILING(COUNTIF(R7:R100,"complete")/2,1)</f>
        <v>2</v>
      </c>
      <c r="T4" s="85"/>
    </row>
    <row r="5" s="83" customFormat="true" ht="15" hidden="false" customHeight="false" outlineLevel="0" collapsed="false">
      <c r="B5" s="89"/>
      <c r="C5" s="89"/>
      <c r="D5" s="89"/>
      <c r="E5" s="89"/>
      <c r="F5" s="89"/>
      <c r="G5" s="89"/>
      <c r="H5" s="89"/>
      <c r="I5" s="89"/>
      <c r="J5" s="89"/>
      <c r="K5" s="86" t="n">
        <f aca="false">COUNTIF(K7:K100,"4")</f>
        <v>1</v>
      </c>
      <c r="L5" s="89"/>
      <c r="M5" s="89"/>
      <c r="T5" s="85"/>
    </row>
    <row r="6" s="83" customFormat="true" ht="15" hidden="false" customHeight="false" outlineLevel="0" collapsed="false">
      <c r="B6" s="89"/>
      <c r="C6" s="89"/>
      <c r="D6" s="89"/>
      <c r="E6" s="89"/>
      <c r="F6" s="89"/>
      <c r="G6" s="89"/>
      <c r="H6" s="89"/>
      <c r="I6" s="89"/>
      <c r="J6" s="89"/>
      <c r="K6" s="86" t="n">
        <f aca="false">COUNTIF(K7:K100,"5")</f>
        <v>0</v>
      </c>
      <c r="L6" s="89"/>
      <c r="M6" s="89"/>
      <c r="T6" s="85"/>
    </row>
    <row r="7" customFormat="false" ht="26.1" hidden="false" customHeight="false" outlineLevel="0" collapsed="false">
      <c r="D7" s="81" t="s">
        <v>520</v>
      </c>
      <c r="I7" s="81" t="s">
        <v>520</v>
      </c>
      <c r="M7" s="82" t="s">
        <v>521</v>
      </c>
      <c r="N7" s="90" t="s">
        <v>522</v>
      </c>
      <c r="O7" s="81" t="n">
        <v>1</v>
      </c>
      <c r="R7" s="81" t="s">
        <v>523</v>
      </c>
      <c r="S7" s="90" t="n">
        <v>45582.483277882</v>
      </c>
      <c r="T7" s="43" t="s">
        <v>524</v>
      </c>
    </row>
    <row r="8" customFormat="false" ht="15" hidden="false" customHeight="false" outlineLevel="0" collapsed="false">
      <c r="B8" s="82" t="s">
        <v>525</v>
      </c>
      <c r="F8" s="81" t="s">
        <v>520</v>
      </c>
      <c r="K8" s="81" t="n">
        <v>3</v>
      </c>
      <c r="N8" s="90" t="s">
        <v>526</v>
      </c>
      <c r="O8" s="81" t="n">
        <v>2</v>
      </c>
      <c r="R8" s="81" t="s">
        <v>523</v>
      </c>
      <c r="S8" s="90" t="n">
        <v>45582.4835192477</v>
      </c>
      <c r="T8" s="43" t="s">
        <v>83</v>
      </c>
    </row>
    <row r="9" customFormat="false" ht="51.1" hidden="false" customHeight="false" outlineLevel="0" collapsed="false">
      <c r="D9" s="81" t="s">
        <v>520</v>
      </c>
      <c r="I9" s="81" t="s">
        <v>520</v>
      </c>
      <c r="M9" s="82" t="s">
        <v>527</v>
      </c>
      <c r="N9" s="90" t="s">
        <v>522</v>
      </c>
      <c r="O9" s="81" t="n">
        <v>3</v>
      </c>
      <c r="P9" s="81" t="n">
        <v>9</v>
      </c>
      <c r="R9" s="81" t="s">
        <v>389</v>
      </c>
      <c r="S9" s="90" t="n">
        <v>45582.4835192477</v>
      </c>
      <c r="T9" s="43" t="s">
        <v>528</v>
      </c>
    </row>
    <row r="10" customFormat="false" ht="124.5" hidden="false" customHeight="true" outlineLevel="0" collapsed="false">
      <c r="B10" s="82" t="s">
        <v>529</v>
      </c>
      <c r="C10" s="81" t="s">
        <v>530</v>
      </c>
      <c r="F10" s="81" t="s">
        <v>520</v>
      </c>
      <c r="K10" s="81" t="n">
        <v>4</v>
      </c>
      <c r="M10" s="82" t="s">
        <v>531</v>
      </c>
      <c r="N10" s="90" t="s">
        <v>526</v>
      </c>
      <c r="O10" s="81" t="n">
        <v>4</v>
      </c>
      <c r="P10" s="81" t="n">
        <v>9</v>
      </c>
      <c r="R10" s="81" t="s">
        <v>389</v>
      </c>
      <c r="S10" s="90" t="n">
        <v>45582.4865216088</v>
      </c>
      <c r="T10" s="43" t="s">
        <v>85</v>
      </c>
    </row>
    <row r="11" customFormat="false" ht="113.6" hidden="false" customHeight="false" outlineLevel="0" collapsed="false">
      <c r="C11" s="81" t="s">
        <v>520</v>
      </c>
      <c r="D11" s="81" t="s">
        <v>520</v>
      </c>
      <c r="I11" s="81" t="s">
        <v>530</v>
      </c>
      <c r="J11" s="82" t="s">
        <v>532</v>
      </c>
      <c r="L11" s="82" t="s">
        <v>520</v>
      </c>
      <c r="M11" s="82" t="s">
        <v>533</v>
      </c>
      <c r="N11" s="90" t="s">
        <v>522</v>
      </c>
      <c r="O11" s="81" t="n">
        <v>5</v>
      </c>
      <c r="P11" s="81" t="n">
        <v>9</v>
      </c>
      <c r="Q11" s="81" t="s">
        <v>398</v>
      </c>
      <c r="R11" s="81" t="s">
        <v>534</v>
      </c>
      <c r="S11" s="90" t="n">
        <v>45582.4865216088</v>
      </c>
      <c r="T11" s="43" t="s">
        <v>535</v>
      </c>
    </row>
    <row r="12" customFormat="false" ht="26.1" hidden="false" customHeight="false" outlineLevel="0" collapsed="false">
      <c r="B12" s="82" t="s">
        <v>525</v>
      </c>
      <c r="F12" s="81" t="s">
        <v>520</v>
      </c>
      <c r="K12" s="81" t="n">
        <v>3</v>
      </c>
      <c r="M12" s="82" t="s">
        <v>536</v>
      </c>
      <c r="N12" s="90" t="s">
        <v>526</v>
      </c>
      <c r="O12" s="81" t="n">
        <v>6</v>
      </c>
      <c r="P12" s="81" t="n">
        <v>9</v>
      </c>
      <c r="Q12" s="81" t="s">
        <v>398</v>
      </c>
      <c r="R12" s="81" t="s">
        <v>534</v>
      </c>
      <c r="S12" s="90" t="n">
        <v>45582.4878374884</v>
      </c>
      <c r="T12" s="43" t="s">
        <v>86</v>
      </c>
    </row>
    <row r="13" customFormat="false" ht="213.6" hidden="false" customHeight="false" outlineLevel="0" collapsed="false">
      <c r="B13" s="82" t="s">
        <v>525</v>
      </c>
      <c r="C13" s="81" t="s">
        <v>530</v>
      </c>
      <c r="D13" s="81" t="s">
        <v>520</v>
      </c>
      <c r="E13" s="82" t="s">
        <v>537</v>
      </c>
      <c r="I13" s="81" t="s">
        <v>520</v>
      </c>
      <c r="L13" s="82" t="s">
        <v>520</v>
      </c>
      <c r="M13" s="82" t="s">
        <v>538</v>
      </c>
      <c r="N13" s="90" t="s">
        <v>522</v>
      </c>
      <c r="O13" s="81" t="n">
        <v>7</v>
      </c>
      <c r="P13" s="81" t="n">
        <v>9</v>
      </c>
      <c r="Q13" s="81" t="s">
        <v>402</v>
      </c>
      <c r="R13" s="81" t="s">
        <v>534</v>
      </c>
      <c r="S13" s="90" t="n">
        <v>45582.4878374884</v>
      </c>
      <c r="T13" s="43" t="s">
        <v>539</v>
      </c>
    </row>
    <row r="14" customFormat="false" ht="76.1" hidden="false" customHeight="false" outlineLevel="0" collapsed="false">
      <c r="B14" s="82" t="s">
        <v>525</v>
      </c>
      <c r="F14" s="81" t="s">
        <v>520</v>
      </c>
      <c r="K14" s="81" t="n">
        <v>3</v>
      </c>
      <c r="M14" s="82" t="s">
        <v>540</v>
      </c>
      <c r="N14" s="90" t="s">
        <v>526</v>
      </c>
      <c r="O14" s="81" t="n">
        <v>8</v>
      </c>
      <c r="P14" s="81" t="n">
        <v>9</v>
      </c>
      <c r="Q14" s="81" t="s">
        <v>402</v>
      </c>
      <c r="R14" s="81" t="s">
        <v>534</v>
      </c>
      <c r="S14" s="90" t="n">
        <v>45582.4905728935</v>
      </c>
      <c r="T14" s="43" t="s">
        <v>88</v>
      </c>
    </row>
    <row r="15" customFormat="false" ht="101.1" hidden="false" customHeight="false" outlineLevel="0" collapsed="false">
      <c r="B15" s="82" t="s">
        <v>525</v>
      </c>
      <c r="C15" s="81" t="s">
        <v>530</v>
      </c>
      <c r="D15" s="81" t="s">
        <v>530</v>
      </c>
      <c r="E15" s="82" t="s">
        <v>541</v>
      </c>
      <c r="I15" s="81" t="s">
        <v>520</v>
      </c>
      <c r="L15" s="82" t="s">
        <v>520</v>
      </c>
      <c r="M15" s="82" t="s">
        <v>540</v>
      </c>
      <c r="N15" s="90" t="s">
        <v>522</v>
      </c>
      <c r="O15" s="81" t="n">
        <v>9</v>
      </c>
      <c r="P15" s="81" t="n">
        <v>9</v>
      </c>
      <c r="Q15" s="81" t="s">
        <v>403</v>
      </c>
      <c r="R15" s="81" t="s">
        <v>534</v>
      </c>
      <c r="S15" s="90" t="n">
        <v>45582.4905728935</v>
      </c>
      <c r="T15" s="43" t="s">
        <v>542</v>
      </c>
    </row>
    <row r="16" customFormat="false" ht="63.6" hidden="false" customHeight="false" outlineLevel="0" collapsed="false">
      <c r="B16" s="82" t="s">
        <v>525</v>
      </c>
      <c r="F16" s="81" t="s">
        <v>530</v>
      </c>
      <c r="K16" s="81" t="n">
        <v>3</v>
      </c>
      <c r="M16" s="82" t="s">
        <v>540</v>
      </c>
      <c r="N16" s="90" t="s">
        <v>526</v>
      </c>
      <c r="O16" s="81" t="n">
        <v>10</v>
      </c>
      <c r="P16" s="81" t="n">
        <v>9</v>
      </c>
      <c r="Q16" s="81" t="s">
        <v>403</v>
      </c>
      <c r="R16" s="81" t="s">
        <v>534</v>
      </c>
      <c r="S16" s="90" t="n">
        <v>45582.492990706</v>
      </c>
      <c r="T16" s="43" t="s">
        <v>89</v>
      </c>
    </row>
    <row r="17" customFormat="false" ht="126.1" hidden="false" customHeight="false" outlineLevel="0" collapsed="false">
      <c r="B17" s="82" t="s">
        <v>525</v>
      </c>
      <c r="C17" s="81" t="s">
        <v>530</v>
      </c>
      <c r="D17" s="81" t="s">
        <v>530</v>
      </c>
      <c r="E17" s="82" t="s">
        <v>543</v>
      </c>
      <c r="G17" s="81" t="s">
        <v>530</v>
      </c>
      <c r="I17" s="81" t="s">
        <v>530</v>
      </c>
      <c r="J17" s="82" t="s">
        <v>544</v>
      </c>
      <c r="L17" s="82" t="s">
        <v>530</v>
      </c>
      <c r="M17" s="82" t="s">
        <v>545</v>
      </c>
      <c r="N17" s="90" t="s">
        <v>522</v>
      </c>
      <c r="O17" s="81" t="n">
        <v>11</v>
      </c>
      <c r="P17" s="81" t="n">
        <v>9</v>
      </c>
      <c r="Q17" s="81" t="s">
        <v>404</v>
      </c>
      <c r="R17" s="81" t="s">
        <v>534</v>
      </c>
      <c r="S17" s="90" t="n">
        <v>45582.492990706</v>
      </c>
      <c r="T17" s="43" t="s">
        <v>546</v>
      </c>
    </row>
    <row r="18" customFormat="false" ht="26.1" hidden="false" customHeight="false" outlineLevel="0" collapsed="false">
      <c r="B18" s="82" t="s">
        <v>525</v>
      </c>
      <c r="F18" s="81" t="s">
        <v>520</v>
      </c>
      <c r="K18" s="81" t="n">
        <v>3</v>
      </c>
      <c r="N18" s="90" t="s">
        <v>526</v>
      </c>
      <c r="O18" s="81" t="n">
        <v>12</v>
      </c>
      <c r="P18" s="81" t="n">
        <v>9</v>
      </c>
      <c r="Q18" s="81" t="s">
        <v>404</v>
      </c>
      <c r="R18" s="81" t="s">
        <v>534</v>
      </c>
      <c r="S18" s="90" t="n">
        <v>45582.4945321759</v>
      </c>
      <c r="T18" s="43" t="s">
        <v>90</v>
      </c>
    </row>
    <row r="19" customFormat="false" ht="88.6" hidden="false" customHeight="false" outlineLevel="0" collapsed="false">
      <c r="D19" s="81" t="s">
        <v>530</v>
      </c>
      <c r="E19" s="82" t="s">
        <v>547</v>
      </c>
      <c r="I19" s="81" t="s">
        <v>520</v>
      </c>
      <c r="L19" s="82" t="s">
        <v>520</v>
      </c>
      <c r="N19" s="90" t="s">
        <v>522</v>
      </c>
      <c r="O19" s="81" t="n">
        <v>13</v>
      </c>
      <c r="P19" s="81" t="n">
        <v>11</v>
      </c>
      <c r="Q19" s="81" t="s">
        <v>404</v>
      </c>
      <c r="R19" s="81" t="s">
        <v>389</v>
      </c>
      <c r="S19" s="90" t="n">
        <v>45582.4945321759</v>
      </c>
      <c r="T19" s="43" t="s">
        <v>548</v>
      </c>
    </row>
    <row r="20" customFormat="false" ht="26.1" hidden="false" customHeight="false" outlineLevel="0" collapsed="false">
      <c r="B20" s="82" t="s">
        <v>398</v>
      </c>
      <c r="F20" s="81" t="s">
        <v>520</v>
      </c>
      <c r="K20" s="81" t="n">
        <v>3</v>
      </c>
      <c r="M20" s="82" t="s">
        <v>549</v>
      </c>
      <c r="N20" s="90" t="s">
        <v>526</v>
      </c>
      <c r="O20" s="81" t="n">
        <v>14</v>
      </c>
      <c r="P20" s="81" t="n">
        <v>11</v>
      </c>
      <c r="Q20" s="81" t="s">
        <v>404</v>
      </c>
      <c r="R20" s="81" t="s">
        <v>389</v>
      </c>
      <c r="S20" s="90" t="n">
        <v>45582.4958845718</v>
      </c>
      <c r="T20" s="43" t="s">
        <v>91</v>
      </c>
    </row>
    <row r="21" customFormat="false" ht="63.6" hidden="false" customHeight="false" outlineLevel="0" collapsed="false">
      <c r="C21" s="81" t="s">
        <v>520</v>
      </c>
      <c r="D21" s="81" t="s">
        <v>520</v>
      </c>
      <c r="E21" s="82" t="s">
        <v>550</v>
      </c>
      <c r="I21" s="81" t="s">
        <v>530</v>
      </c>
      <c r="J21" s="82" t="s">
        <v>544</v>
      </c>
      <c r="L21" s="82" t="s">
        <v>520</v>
      </c>
      <c r="M21" s="82" t="s">
        <v>551</v>
      </c>
      <c r="N21" s="90" t="s">
        <v>522</v>
      </c>
      <c r="O21" s="81" t="n">
        <v>15</v>
      </c>
      <c r="P21" s="81" t="n">
        <v>11</v>
      </c>
      <c r="Q21" s="81" t="s">
        <v>398</v>
      </c>
      <c r="R21" s="81" t="s">
        <v>534</v>
      </c>
      <c r="S21" s="90" t="n">
        <v>45582.4958845718</v>
      </c>
      <c r="T21" s="43" t="s">
        <v>552</v>
      </c>
    </row>
    <row r="22" customFormat="false" ht="15" hidden="false" customHeight="false" outlineLevel="0" collapsed="false">
      <c r="B22" s="82" t="s">
        <v>525</v>
      </c>
      <c r="F22" s="81" t="s">
        <v>520</v>
      </c>
      <c r="K22" s="81" t="n">
        <v>3</v>
      </c>
      <c r="M22" s="82" t="s">
        <v>540</v>
      </c>
      <c r="N22" s="90" t="s">
        <v>526</v>
      </c>
      <c r="O22" s="81" t="n">
        <v>16</v>
      </c>
      <c r="P22" s="81" t="n">
        <v>11</v>
      </c>
      <c r="Q22" s="81" t="s">
        <v>398</v>
      </c>
      <c r="R22" s="81" t="s">
        <v>534</v>
      </c>
      <c r="S22" s="90" t="n">
        <v>45582.4965557407</v>
      </c>
      <c r="T22" s="43" t="s">
        <v>92</v>
      </c>
    </row>
    <row r="23" customFormat="false" ht="76.1" hidden="false" customHeight="false" outlineLevel="0" collapsed="false">
      <c r="C23" s="81" t="s">
        <v>530</v>
      </c>
      <c r="D23" s="81" t="s">
        <v>520</v>
      </c>
      <c r="I23" s="81" t="s">
        <v>530</v>
      </c>
      <c r="J23" s="82" t="s">
        <v>544</v>
      </c>
      <c r="L23" s="82" t="s">
        <v>520</v>
      </c>
      <c r="N23" s="90" t="s">
        <v>522</v>
      </c>
      <c r="O23" s="81" t="n">
        <v>17</v>
      </c>
      <c r="P23" s="81" t="n">
        <v>11</v>
      </c>
      <c r="Q23" s="81" t="s">
        <v>402</v>
      </c>
      <c r="R23" s="81" t="s">
        <v>534</v>
      </c>
      <c r="S23" s="90" t="n">
        <v>45582.4965557407</v>
      </c>
      <c r="T23" s="43" t="s">
        <v>553</v>
      </c>
    </row>
    <row r="24" customFormat="false" ht="15" hidden="false" customHeight="false" outlineLevel="0" collapsed="false">
      <c r="B24" s="82" t="s">
        <v>525</v>
      </c>
      <c r="F24" s="81" t="s">
        <v>520</v>
      </c>
      <c r="K24" s="81" t="n">
        <v>3</v>
      </c>
      <c r="M24" s="82" t="s">
        <v>540</v>
      </c>
      <c r="N24" s="90" t="s">
        <v>526</v>
      </c>
      <c r="O24" s="81" t="n">
        <v>18</v>
      </c>
      <c r="P24" s="81" t="n">
        <v>11</v>
      </c>
      <c r="Q24" s="81" t="s">
        <v>402</v>
      </c>
      <c r="R24" s="81" t="s">
        <v>534</v>
      </c>
      <c r="S24" s="90" t="n">
        <v>45582.4972894792</v>
      </c>
      <c r="T24" s="43" t="s">
        <v>93</v>
      </c>
    </row>
    <row r="25" customFormat="false" ht="101.1" hidden="false" customHeight="false" outlineLevel="0" collapsed="false">
      <c r="D25" s="81" t="s">
        <v>530</v>
      </c>
      <c r="E25" s="82" t="s">
        <v>554</v>
      </c>
      <c r="I25" s="81" t="s">
        <v>520</v>
      </c>
      <c r="L25" s="82" t="s">
        <v>530</v>
      </c>
      <c r="M25" s="82" t="s">
        <v>555</v>
      </c>
      <c r="N25" s="90" t="s">
        <v>522</v>
      </c>
      <c r="O25" s="81" t="n">
        <v>19</v>
      </c>
      <c r="P25" s="81" t="n">
        <v>10</v>
      </c>
      <c r="Q25" s="81" t="s">
        <v>402</v>
      </c>
      <c r="R25" s="81" t="s">
        <v>389</v>
      </c>
      <c r="S25" s="90" t="n">
        <v>45582.4972894792</v>
      </c>
      <c r="T25" s="43" t="s">
        <v>556</v>
      </c>
    </row>
    <row r="26" customFormat="false" ht="51.1" hidden="false" customHeight="false" outlineLevel="0" collapsed="false">
      <c r="B26" s="82" t="s">
        <v>557</v>
      </c>
      <c r="F26" s="81" t="s">
        <v>520</v>
      </c>
      <c r="K26" s="81" t="n">
        <v>3</v>
      </c>
      <c r="M26" s="82" t="s">
        <v>540</v>
      </c>
      <c r="N26" s="90" t="s">
        <v>526</v>
      </c>
      <c r="O26" s="81" t="n">
        <v>20</v>
      </c>
      <c r="P26" s="81" t="n">
        <v>10</v>
      </c>
      <c r="Q26" s="81" t="s">
        <v>402</v>
      </c>
      <c r="R26" s="81" t="s">
        <v>389</v>
      </c>
      <c r="S26" s="90" t="n">
        <v>45582.4990735301</v>
      </c>
      <c r="T26" s="43" t="s">
        <v>94</v>
      </c>
    </row>
    <row r="27" customFormat="false" ht="113.6" hidden="false" customHeight="false" outlineLevel="0" collapsed="false">
      <c r="C27" s="81" t="s">
        <v>520</v>
      </c>
      <c r="D27" s="81" t="s">
        <v>520</v>
      </c>
      <c r="I27" s="81" t="s">
        <v>530</v>
      </c>
      <c r="J27" s="82" t="s">
        <v>544</v>
      </c>
      <c r="L27" s="82" t="s">
        <v>530</v>
      </c>
      <c r="M27" s="82" t="s">
        <v>558</v>
      </c>
      <c r="N27" s="90" t="s">
        <v>522</v>
      </c>
      <c r="O27" s="81" t="n">
        <v>21</v>
      </c>
      <c r="P27" s="81" t="n">
        <v>10</v>
      </c>
      <c r="Q27" s="81" t="s">
        <v>409</v>
      </c>
      <c r="R27" s="81" t="s">
        <v>534</v>
      </c>
      <c r="S27" s="90" t="n">
        <v>45582.4990735301</v>
      </c>
      <c r="T27" s="43" t="s">
        <v>559</v>
      </c>
    </row>
    <row r="28" customFormat="false" ht="15" hidden="false" customHeight="false" outlineLevel="0" collapsed="false">
      <c r="B28" s="82" t="s">
        <v>525</v>
      </c>
      <c r="F28" s="81" t="s">
        <v>520</v>
      </c>
      <c r="K28" s="81" t="n">
        <v>3</v>
      </c>
      <c r="M28" s="82" t="s">
        <v>540</v>
      </c>
      <c r="N28" s="90" t="s">
        <v>526</v>
      </c>
      <c r="O28" s="81" t="n">
        <v>22</v>
      </c>
      <c r="P28" s="81" t="n">
        <v>10</v>
      </c>
      <c r="Q28" s="81" t="s">
        <v>409</v>
      </c>
      <c r="R28" s="81" t="s">
        <v>534</v>
      </c>
      <c r="S28" s="90" t="n">
        <v>45582.5001436921</v>
      </c>
      <c r="T28" s="43" t="n">
        <v>4</v>
      </c>
    </row>
    <row r="29" customFormat="false" ht="138.6" hidden="false" customHeight="false" outlineLevel="0" collapsed="false">
      <c r="B29" s="82" t="s">
        <v>525</v>
      </c>
      <c r="C29" s="81" t="s">
        <v>520</v>
      </c>
      <c r="D29" s="81" t="s">
        <v>530</v>
      </c>
      <c r="E29" s="82" t="s">
        <v>560</v>
      </c>
      <c r="I29" s="81" t="s">
        <v>530</v>
      </c>
      <c r="J29" s="82" t="s">
        <v>544</v>
      </c>
      <c r="L29" s="82" t="s">
        <v>530</v>
      </c>
      <c r="M29" s="82" t="s">
        <v>561</v>
      </c>
      <c r="N29" s="90" t="s">
        <v>522</v>
      </c>
      <c r="O29" s="81" t="n">
        <v>23</v>
      </c>
      <c r="P29" s="81" t="n">
        <v>10</v>
      </c>
      <c r="Q29" s="81" t="s">
        <v>402</v>
      </c>
      <c r="R29" s="81" t="s">
        <v>534</v>
      </c>
      <c r="S29" s="90" t="n">
        <v>45582.5001436921</v>
      </c>
      <c r="T29" s="43" t="s">
        <v>562</v>
      </c>
    </row>
    <row r="30" customFormat="false" ht="15" hidden="false" customHeight="false" outlineLevel="0" collapsed="false">
      <c r="B30" s="82" t="s">
        <v>525</v>
      </c>
      <c r="F30" s="81" t="s">
        <v>520</v>
      </c>
      <c r="K30" s="81" t="n">
        <v>3</v>
      </c>
      <c r="M30" s="82" t="s">
        <v>540</v>
      </c>
      <c r="N30" s="90" t="s">
        <v>526</v>
      </c>
      <c r="O30" s="81" t="n">
        <v>24</v>
      </c>
      <c r="P30" s="81" t="n">
        <v>10</v>
      </c>
      <c r="Q30" s="81" t="s">
        <v>402</v>
      </c>
      <c r="R30" s="81" t="s">
        <v>534</v>
      </c>
      <c r="S30" s="90" t="n">
        <v>45582.5008459607</v>
      </c>
      <c r="T30" s="43" t="s">
        <v>95</v>
      </c>
    </row>
    <row r="31" customFormat="false" ht="15" hidden="false" customHeight="false" outlineLevel="0" collapsed="false">
      <c r="B31" s="82" t="s">
        <v>525</v>
      </c>
      <c r="D31" s="81" t="s">
        <v>530</v>
      </c>
      <c r="I31" s="81" t="s">
        <v>520</v>
      </c>
      <c r="L31" s="82" t="s">
        <v>530</v>
      </c>
      <c r="N31" s="90" t="s">
        <v>522</v>
      </c>
      <c r="O31" s="81" t="n">
        <v>25</v>
      </c>
      <c r="P31" s="81" t="n">
        <v>10</v>
      </c>
      <c r="Q31" s="81" t="s">
        <v>402</v>
      </c>
      <c r="R31" s="81" t="s">
        <v>534</v>
      </c>
      <c r="S31" s="90" t="n">
        <v>45582.5008459607</v>
      </c>
      <c r="T31" s="43" t="s">
        <v>563</v>
      </c>
    </row>
    <row r="32" customFormat="false" ht="26.1" hidden="false" customHeight="false" outlineLevel="0" collapsed="false">
      <c r="B32" s="82" t="s">
        <v>525</v>
      </c>
      <c r="K32" s="81" t="n">
        <v>3</v>
      </c>
      <c r="M32" s="82" t="s">
        <v>540</v>
      </c>
      <c r="N32" s="90" t="s">
        <v>526</v>
      </c>
      <c r="O32" s="81" t="n">
        <v>26</v>
      </c>
      <c r="P32" s="81" t="n">
        <v>10</v>
      </c>
      <c r="Q32" s="81" t="s">
        <v>402</v>
      </c>
      <c r="R32" s="81" t="s">
        <v>534</v>
      </c>
      <c r="S32" s="90" t="n">
        <v>45582.501654213</v>
      </c>
      <c r="T32" s="43" t="s">
        <v>96</v>
      </c>
    </row>
    <row r="33" customFormat="false" ht="15" hidden="false" customHeight="false" outlineLevel="0" collapsed="false">
      <c r="B33" s="82" t="s">
        <v>525</v>
      </c>
      <c r="D33" s="81" t="s">
        <v>520</v>
      </c>
      <c r="G33" s="81" t="s">
        <v>530</v>
      </c>
      <c r="I33" s="81" t="s">
        <v>520</v>
      </c>
      <c r="L33" s="82" t="s">
        <v>530</v>
      </c>
      <c r="N33" s="90" t="s">
        <v>522</v>
      </c>
      <c r="O33" s="81" t="n">
        <v>27</v>
      </c>
      <c r="P33" s="81" t="n">
        <v>10</v>
      </c>
      <c r="Q33" s="81" t="s">
        <v>402</v>
      </c>
      <c r="R33" s="81" t="s">
        <v>534</v>
      </c>
      <c r="S33" s="90" t="n">
        <v>45582.501654213</v>
      </c>
      <c r="T33" s="43" t="s">
        <v>564</v>
      </c>
    </row>
    <row r="34" customFormat="false" ht="15" hidden="false" customHeight="false" outlineLevel="0" collapsed="false">
      <c r="B34" s="82" t="s">
        <v>525</v>
      </c>
      <c r="F34" s="81" t="s">
        <v>520</v>
      </c>
      <c r="K34" s="81" t="n">
        <v>3</v>
      </c>
      <c r="N34" s="90" t="s">
        <v>526</v>
      </c>
      <c r="O34" s="81" t="n">
        <v>28</v>
      </c>
      <c r="P34" s="81" t="n">
        <v>10</v>
      </c>
      <c r="Q34" s="81" t="s">
        <v>402</v>
      </c>
      <c r="R34" s="81" t="s">
        <v>534</v>
      </c>
      <c r="S34" s="90" t="n">
        <v>45582.5019719676</v>
      </c>
      <c r="T34" s="43" t="s">
        <v>97</v>
      </c>
    </row>
    <row r="35" customFormat="false" ht="15" hidden="false" customHeight="false" outlineLevel="0" collapsed="false">
      <c r="B35" s="82" t="s">
        <v>525</v>
      </c>
      <c r="D35" s="81" t="s">
        <v>520</v>
      </c>
      <c r="G35" s="81" t="s">
        <v>530</v>
      </c>
      <c r="I35" s="81" t="s">
        <v>520</v>
      </c>
      <c r="L35" s="82" t="s">
        <v>530</v>
      </c>
      <c r="N35" s="90" t="s">
        <v>522</v>
      </c>
      <c r="O35" s="81" t="n">
        <v>29</v>
      </c>
      <c r="P35" s="81" t="n">
        <v>10</v>
      </c>
      <c r="Q35" s="81" t="s">
        <v>402</v>
      </c>
      <c r="R35" s="81" t="s">
        <v>534</v>
      </c>
      <c r="S35" s="90" t="n">
        <v>45582.5019719676</v>
      </c>
      <c r="T35" s="43" t="s">
        <v>564</v>
      </c>
    </row>
    <row r="36" customFormat="false" ht="15" hidden="false" customHeight="false" outlineLevel="0" collapsed="false">
      <c r="B36" s="82" t="s">
        <v>525</v>
      </c>
      <c r="F36" s="81" t="s">
        <v>520</v>
      </c>
      <c r="K36" s="81" t="n">
        <v>3</v>
      </c>
      <c r="N36" s="90" t="s">
        <v>526</v>
      </c>
      <c r="O36" s="81" t="n">
        <v>30</v>
      </c>
      <c r="P36" s="81" t="n">
        <v>10</v>
      </c>
      <c r="Q36" s="81" t="s">
        <v>402</v>
      </c>
      <c r="R36" s="81" t="s">
        <v>534</v>
      </c>
      <c r="S36" s="90" t="n">
        <v>45582.5023414468</v>
      </c>
      <c r="T36" s="43" t="s">
        <v>98</v>
      </c>
    </row>
    <row r="37" customFormat="false" ht="151.1" hidden="false" customHeight="false" outlineLevel="0" collapsed="false">
      <c r="B37" s="82" t="s">
        <v>525</v>
      </c>
      <c r="C37" s="81" t="s">
        <v>520</v>
      </c>
      <c r="D37" s="81" t="s">
        <v>520</v>
      </c>
      <c r="I37" s="81" t="s">
        <v>520</v>
      </c>
      <c r="L37" s="82" t="s">
        <v>530</v>
      </c>
      <c r="M37" s="82" t="s">
        <v>565</v>
      </c>
      <c r="N37" s="90" t="s">
        <v>522</v>
      </c>
      <c r="O37" s="81" t="n">
        <v>31</v>
      </c>
      <c r="P37" s="81" t="n">
        <v>10</v>
      </c>
      <c r="Q37" s="81" t="s">
        <v>408</v>
      </c>
      <c r="R37" s="81" t="s">
        <v>534</v>
      </c>
      <c r="S37" s="90" t="n">
        <v>45582.5023414468</v>
      </c>
      <c r="T37" s="43" t="s">
        <v>566</v>
      </c>
    </row>
    <row r="38" customFormat="false" ht="15" hidden="false" customHeight="false" outlineLevel="0" collapsed="false">
      <c r="B38" s="82" t="s">
        <v>525</v>
      </c>
      <c r="F38" s="81" t="s">
        <v>520</v>
      </c>
      <c r="K38" s="81" t="n">
        <v>3</v>
      </c>
      <c r="M38" s="82" t="s">
        <v>540</v>
      </c>
      <c r="N38" s="90" t="s">
        <v>526</v>
      </c>
      <c r="O38" s="81" t="n">
        <v>32</v>
      </c>
      <c r="P38" s="81" t="n">
        <v>10</v>
      </c>
      <c r="Q38" s="81" t="s">
        <v>408</v>
      </c>
      <c r="R38" s="81" t="s">
        <v>534</v>
      </c>
      <c r="S38" s="90" t="n">
        <v>45582.5026743287</v>
      </c>
      <c r="T38" s="43" t="n">
        <v>4</v>
      </c>
    </row>
    <row r="39" customFormat="false" ht="26.1" hidden="false" customHeight="false" outlineLevel="0" collapsed="false">
      <c r="D39" s="81" t="s">
        <v>520</v>
      </c>
      <c r="I39" s="81" t="s">
        <v>520</v>
      </c>
      <c r="L39" s="82" t="s">
        <v>520</v>
      </c>
      <c r="N39" s="90" t="s">
        <v>522</v>
      </c>
      <c r="O39" s="81" t="n">
        <v>33</v>
      </c>
      <c r="P39" s="81" t="n">
        <v>7</v>
      </c>
      <c r="Q39" s="81" t="s">
        <v>408</v>
      </c>
      <c r="R39" s="81" t="s">
        <v>389</v>
      </c>
      <c r="S39" s="90" t="n">
        <v>45582.5026743287</v>
      </c>
      <c r="T39" s="43" t="s">
        <v>567</v>
      </c>
    </row>
    <row r="40" customFormat="false" ht="26.1" hidden="false" customHeight="false" outlineLevel="0" collapsed="false">
      <c r="B40" s="82" t="s">
        <v>568</v>
      </c>
      <c r="C40" s="81" t="s">
        <v>530</v>
      </c>
      <c r="F40" s="81" t="s">
        <v>520</v>
      </c>
      <c r="K40" s="81" t="n">
        <v>3</v>
      </c>
      <c r="M40" s="82" t="s">
        <v>540</v>
      </c>
      <c r="N40" s="90" t="s">
        <v>526</v>
      </c>
      <c r="O40" s="81" t="n">
        <v>34</v>
      </c>
      <c r="P40" s="81" t="n">
        <v>7</v>
      </c>
      <c r="Q40" s="81" t="s">
        <v>408</v>
      </c>
      <c r="R40" s="81" t="s">
        <v>389</v>
      </c>
      <c r="S40" s="90" t="n">
        <v>45582.5037386574</v>
      </c>
      <c r="T40" s="43" t="s">
        <v>99</v>
      </c>
    </row>
    <row r="41" customFormat="false" ht="63.6" hidden="false" customHeight="false" outlineLevel="0" collapsed="false">
      <c r="C41" s="81" t="s">
        <v>530</v>
      </c>
      <c r="D41" s="81" t="s">
        <v>520</v>
      </c>
      <c r="I41" s="81" t="s">
        <v>520</v>
      </c>
      <c r="L41" s="82" t="s">
        <v>520</v>
      </c>
      <c r="M41" s="82" t="s">
        <v>555</v>
      </c>
      <c r="N41" s="90" t="s">
        <v>522</v>
      </c>
      <c r="O41" s="81" t="n">
        <v>35</v>
      </c>
      <c r="P41" s="81" t="n">
        <v>7</v>
      </c>
      <c r="Q41" s="81" t="s">
        <v>397</v>
      </c>
      <c r="R41" s="81" t="s">
        <v>534</v>
      </c>
      <c r="S41" s="90" t="n">
        <v>45582.5037386574</v>
      </c>
      <c r="T41" s="43" t="s">
        <v>569</v>
      </c>
    </row>
    <row r="42" customFormat="false" ht="15" hidden="false" customHeight="false" outlineLevel="0" collapsed="false">
      <c r="B42" s="82" t="s">
        <v>525</v>
      </c>
      <c r="C42" s="81" t="s">
        <v>530</v>
      </c>
      <c r="F42" s="81" t="s">
        <v>520</v>
      </c>
      <c r="K42" s="81" t="n">
        <v>3</v>
      </c>
      <c r="N42" s="90" t="s">
        <v>526</v>
      </c>
      <c r="O42" s="81" t="n">
        <v>36</v>
      </c>
      <c r="P42" s="81" t="n">
        <v>7</v>
      </c>
      <c r="Q42" s="81" t="s">
        <v>397</v>
      </c>
      <c r="R42" s="81" t="s">
        <v>534</v>
      </c>
      <c r="S42" s="90" t="n">
        <v>45582.5040859028</v>
      </c>
      <c r="T42" s="43" t="n">
        <v>4</v>
      </c>
    </row>
    <row r="43" customFormat="false" ht="63.6" hidden="false" customHeight="false" outlineLevel="0" collapsed="false">
      <c r="B43" s="82" t="s">
        <v>525</v>
      </c>
      <c r="C43" s="81" t="s">
        <v>530</v>
      </c>
      <c r="D43" s="81" t="s">
        <v>520</v>
      </c>
      <c r="E43" s="82" t="s">
        <v>570</v>
      </c>
      <c r="I43" s="81" t="s">
        <v>520</v>
      </c>
      <c r="L43" s="82" t="s">
        <v>520</v>
      </c>
      <c r="M43" s="82" t="s">
        <v>571</v>
      </c>
      <c r="N43" s="90" t="s">
        <v>522</v>
      </c>
      <c r="O43" s="81" t="n">
        <v>37</v>
      </c>
      <c r="P43" s="81" t="n">
        <v>7</v>
      </c>
      <c r="Q43" s="81" t="s">
        <v>399</v>
      </c>
      <c r="R43" s="81" t="s">
        <v>534</v>
      </c>
      <c r="S43" s="90" t="n">
        <v>45582.5040859028</v>
      </c>
      <c r="T43" s="43" t="s">
        <v>572</v>
      </c>
    </row>
    <row r="44" customFormat="false" ht="15" hidden="false" customHeight="false" outlineLevel="0" collapsed="false">
      <c r="B44" s="82" t="s">
        <v>525</v>
      </c>
      <c r="F44" s="81" t="s">
        <v>520</v>
      </c>
      <c r="K44" s="81" t="n">
        <v>3</v>
      </c>
      <c r="N44" s="90" t="s">
        <v>526</v>
      </c>
      <c r="O44" s="81" t="n">
        <v>38</v>
      </c>
      <c r="P44" s="81" t="n">
        <v>7</v>
      </c>
      <c r="Q44" s="81" t="s">
        <v>399</v>
      </c>
      <c r="R44" s="81" t="s">
        <v>534</v>
      </c>
      <c r="S44" s="90" t="n">
        <v>45582.5044862153</v>
      </c>
      <c r="T44" s="43" t="n">
        <v>1</v>
      </c>
    </row>
    <row r="45" customFormat="false" ht="63.6" hidden="false" customHeight="false" outlineLevel="0" collapsed="false">
      <c r="B45" s="82" t="s">
        <v>525</v>
      </c>
      <c r="C45" s="81" t="s">
        <v>530</v>
      </c>
      <c r="D45" s="81" t="s">
        <v>520</v>
      </c>
      <c r="E45" s="82" t="s">
        <v>570</v>
      </c>
      <c r="I45" s="81" t="s">
        <v>520</v>
      </c>
      <c r="L45" s="82" t="s">
        <v>520</v>
      </c>
      <c r="M45" s="82" t="s">
        <v>571</v>
      </c>
      <c r="N45" s="90" t="s">
        <v>522</v>
      </c>
      <c r="O45" s="81" t="n">
        <v>39</v>
      </c>
      <c r="P45" s="81" t="n">
        <v>7</v>
      </c>
      <c r="Q45" s="81" t="s">
        <v>402</v>
      </c>
      <c r="R45" s="81" t="s">
        <v>534</v>
      </c>
      <c r="S45" s="90" t="n">
        <v>45582.5044862153</v>
      </c>
      <c r="T45" s="43" t="s">
        <v>573</v>
      </c>
    </row>
    <row r="46" customFormat="false" ht="15" hidden="false" customHeight="false" outlineLevel="0" collapsed="false">
      <c r="B46" s="82" t="s">
        <v>525</v>
      </c>
      <c r="F46" s="81" t="s">
        <v>520</v>
      </c>
      <c r="K46" s="81" t="n">
        <v>3</v>
      </c>
      <c r="N46" s="90" t="s">
        <v>526</v>
      </c>
      <c r="O46" s="81" t="n">
        <v>40</v>
      </c>
      <c r="P46" s="81" t="n">
        <v>7</v>
      </c>
      <c r="Q46" s="81" t="s">
        <v>402</v>
      </c>
      <c r="R46" s="81" t="s">
        <v>534</v>
      </c>
      <c r="S46" s="90" t="n">
        <v>45582.5049086921</v>
      </c>
      <c r="T46" s="43" t="n">
        <v>4</v>
      </c>
    </row>
    <row r="47" customFormat="false" ht="76.1" hidden="false" customHeight="false" outlineLevel="0" collapsed="false">
      <c r="D47" s="81" t="s">
        <v>530</v>
      </c>
      <c r="E47" s="82" t="s">
        <v>574</v>
      </c>
      <c r="I47" s="81" t="s">
        <v>520</v>
      </c>
      <c r="L47" s="82" t="s">
        <v>530</v>
      </c>
      <c r="M47" s="82" t="s">
        <v>555</v>
      </c>
      <c r="N47" s="90" t="s">
        <v>522</v>
      </c>
      <c r="O47" s="81" t="n">
        <v>41</v>
      </c>
      <c r="P47" s="81" t="n">
        <v>12</v>
      </c>
      <c r="Q47" s="81" t="s">
        <v>402</v>
      </c>
      <c r="R47" s="81" t="s">
        <v>389</v>
      </c>
      <c r="S47" s="90" t="n">
        <v>45582.5049086921</v>
      </c>
      <c r="T47" s="43" t="s">
        <v>575</v>
      </c>
    </row>
    <row r="48" customFormat="false" ht="15" hidden="false" customHeight="false" outlineLevel="0" collapsed="false">
      <c r="B48" s="82" t="s">
        <v>576</v>
      </c>
      <c r="F48" s="81" t="s">
        <v>530</v>
      </c>
      <c r="K48" s="81" t="n">
        <v>3</v>
      </c>
      <c r="N48" s="90" t="s">
        <v>526</v>
      </c>
      <c r="O48" s="81" t="n">
        <v>42</v>
      </c>
      <c r="P48" s="81" t="n">
        <v>12</v>
      </c>
      <c r="Q48" s="81" t="s">
        <v>402</v>
      </c>
      <c r="R48" s="81" t="s">
        <v>389</v>
      </c>
      <c r="S48" s="90" t="n">
        <v>45582.5057700579</v>
      </c>
      <c r="T48" s="43" t="s">
        <v>100</v>
      </c>
    </row>
    <row r="49" customFormat="false" ht="15" hidden="false" customHeight="false" outlineLevel="0" collapsed="false">
      <c r="D49" s="81" t="s">
        <v>520</v>
      </c>
      <c r="G49" s="81" t="s">
        <v>520</v>
      </c>
      <c r="I49" s="81" t="s">
        <v>520</v>
      </c>
      <c r="L49" s="82" t="s">
        <v>520</v>
      </c>
      <c r="N49" s="90" t="s">
        <v>522</v>
      </c>
      <c r="O49" s="81" t="n">
        <v>43</v>
      </c>
      <c r="P49" s="81" t="n">
        <v>12</v>
      </c>
      <c r="Q49" s="81" t="s">
        <v>402</v>
      </c>
      <c r="R49" s="81" t="s">
        <v>389</v>
      </c>
      <c r="S49" s="90" t="n">
        <v>45582.5057700579</v>
      </c>
      <c r="T49" s="43" t="s">
        <v>577</v>
      </c>
    </row>
    <row r="50" customFormat="false" ht="51.1" hidden="false" customHeight="false" outlineLevel="0" collapsed="false">
      <c r="B50" s="82" t="s">
        <v>576</v>
      </c>
      <c r="F50" s="81" t="s">
        <v>520</v>
      </c>
      <c r="K50" s="81" t="n">
        <v>2</v>
      </c>
      <c r="N50" s="90" t="s">
        <v>526</v>
      </c>
      <c r="O50" s="81" t="n">
        <v>44</v>
      </c>
      <c r="P50" s="81" t="n">
        <v>12</v>
      </c>
      <c r="Q50" s="81" t="s">
        <v>402</v>
      </c>
      <c r="R50" s="81" t="s">
        <v>389</v>
      </c>
      <c r="S50" s="90" t="n">
        <v>45582.5069312384</v>
      </c>
      <c r="T50" s="43" t="s">
        <v>101</v>
      </c>
    </row>
    <row r="51" customFormat="false" ht="63.6" hidden="false" customHeight="false" outlineLevel="0" collapsed="false">
      <c r="D51" s="81" t="s">
        <v>520</v>
      </c>
      <c r="I51" s="81" t="s">
        <v>520</v>
      </c>
      <c r="L51" s="82" t="s">
        <v>520</v>
      </c>
      <c r="N51" s="90" t="s">
        <v>522</v>
      </c>
      <c r="O51" s="81" t="n">
        <v>45</v>
      </c>
      <c r="P51" s="81" t="n">
        <v>12</v>
      </c>
      <c r="Q51" s="81" t="s">
        <v>402</v>
      </c>
      <c r="R51" s="81" t="s">
        <v>534</v>
      </c>
      <c r="S51" s="90" t="n">
        <v>45582.5069312384</v>
      </c>
      <c r="T51" s="43" t="s">
        <v>578</v>
      </c>
    </row>
    <row r="52" customFormat="false" ht="15" hidden="false" customHeight="false" outlineLevel="0" collapsed="false">
      <c r="B52" s="82" t="s">
        <v>525</v>
      </c>
      <c r="F52" s="81" t="s">
        <v>520</v>
      </c>
      <c r="K52" s="81" t="n">
        <v>3</v>
      </c>
      <c r="N52" s="90" t="s">
        <v>526</v>
      </c>
      <c r="O52" s="81" t="n">
        <v>46</v>
      </c>
      <c r="P52" s="81" t="n">
        <v>12</v>
      </c>
      <c r="Q52" s="81" t="s">
        <v>402</v>
      </c>
      <c r="R52" s="81" t="s">
        <v>534</v>
      </c>
      <c r="S52" s="90" t="n">
        <v>45582.5075276389</v>
      </c>
      <c r="T52" s="43" t="n">
        <v>4</v>
      </c>
    </row>
    <row r="53" customFormat="false" ht="101.1" hidden="false" customHeight="false" outlineLevel="0" collapsed="false">
      <c r="D53" s="81" t="s">
        <v>530</v>
      </c>
      <c r="E53" s="82" t="s">
        <v>579</v>
      </c>
      <c r="I53" s="81" t="s">
        <v>530</v>
      </c>
      <c r="J53" s="82" t="s">
        <v>544</v>
      </c>
      <c r="L53" s="82" t="s">
        <v>530</v>
      </c>
      <c r="M53" s="82" t="s">
        <v>580</v>
      </c>
      <c r="N53" s="90" t="s">
        <v>522</v>
      </c>
      <c r="O53" s="81" t="n">
        <v>47</v>
      </c>
      <c r="P53" s="81" t="n">
        <v>8</v>
      </c>
      <c r="Q53" s="81" t="s">
        <v>402</v>
      </c>
      <c r="R53" s="81" t="s">
        <v>389</v>
      </c>
      <c r="S53" s="90" t="n">
        <v>45582.5075276389</v>
      </c>
      <c r="T53" s="43" t="s">
        <v>581</v>
      </c>
    </row>
    <row r="54" customFormat="false" ht="26.1" hidden="false" customHeight="false" outlineLevel="0" collapsed="false">
      <c r="B54" s="82" t="s">
        <v>576</v>
      </c>
      <c r="F54" s="81" t="s">
        <v>530</v>
      </c>
      <c r="K54" s="81" t="n">
        <v>3</v>
      </c>
      <c r="N54" s="90" t="s">
        <v>526</v>
      </c>
      <c r="O54" s="81" t="n">
        <v>48</v>
      </c>
      <c r="P54" s="81" t="n">
        <v>8</v>
      </c>
      <c r="Q54" s="81" t="s">
        <v>402</v>
      </c>
      <c r="R54" s="81" t="s">
        <v>389</v>
      </c>
      <c r="S54" s="90" t="n">
        <v>45582.5084533102</v>
      </c>
      <c r="T54" s="43" t="s">
        <v>102</v>
      </c>
    </row>
    <row r="55" customFormat="false" ht="51.1" hidden="false" customHeight="false" outlineLevel="0" collapsed="false">
      <c r="B55" s="82" t="s">
        <v>576</v>
      </c>
      <c r="D55" s="81" t="s">
        <v>530</v>
      </c>
      <c r="G55" s="81" t="s">
        <v>530</v>
      </c>
      <c r="I55" s="81" t="s">
        <v>530</v>
      </c>
      <c r="J55" s="82" t="s">
        <v>544</v>
      </c>
      <c r="L55" s="82" t="s">
        <v>530</v>
      </c>
      <c r="M55" s="82" t="s">
        <v>533</v>
      </c>
      <c r="N55" s="90" t="s">
        <v>522</v>
      </c>
      <c r="O55" s="81" t="n">
        <v>49</v>
      </c>
      <c r="P55" s="81" t="n">
        <v>8</v>
      </c>
      <c r="Q55" s="81" t="s">
        <v>402</v>
      </c>
      <c r="R55" s="81" t="s">
        <v>389</v>
      </c>
      <c r="S55" s="90" t="n">
        <v>45582.5084533102</v>
      </c>
      <c r="T55" s="43" t="s">
        <v>582</v>
      </c>
    </row>
    <row r="56" customFormat="false" ht="15" hidden="false" customHeight="false" outlineLevel="0" collapsed="false">
      <c r="B56" s="82" t="s">
        <v>576</v>
      </c>
      <c r="F56" s="81" t="s">
        <v>530</v>
      </c>
      <c r="K56" s="81" t="n">
        <v>3</v>
      </c>
      <c r="N56" s="90" t="s">
        <v>526</v>
      </c>
      <c r="O56" s="81" t="n">
        <v>50</v>
      </c>
      <c r="P56" s="81" t="n">
        <v>8</v>
      </c>
      <c r="Q56" s="81" t="s">
        <v>402</v>
      </c>
      <c r="R56" s="81" t="s">
        <v>389</v>
      </c>
      <c r="S56" s="90" t="n">
        <v>45582.5090492593</v>
      </c>
      <c r="T56" s="43" t="s">
        <v>103</v>
      </c>
    </row>
    <row r="57" customFormat="false" ht="51.1" hidden="false" customHeight="false" outlineLevel="0" collapsed="false">
      <c r="B57" s="82" t="s">
        <v>576</v>
      </c>
      <c r="D57" s="81" t="s">
        <v>530</v>
      </c>
      <c r="G57" s="81" t="s">
        <v>530</v>
      </c>
      <c r="I57" s="81" t="s">
        <v>530</v>
      </c>
      <c r="J57" s="82" t="s">
        <v>544</v>
      </c>
      <c r="L57" s="82" t="s">
        <v>530</v>
      </c>
      <c r="M57" s="82" t="s">
        <v>533</v>
      </c>
      <c r="N57" s="90" t="s">
        <v>522</v>
      </c>
      <c r="O57" s="81" t="n">
        <v>51</v>
      </c>
      <c r="P57" s="81" t="n">
        <v>8</v>
      </c>
      <c r="Q57" s="81" t="s">
        <v>402</v>
      </c>
      <c r="R57" s="81" t="s">
        <v>389</v>
      </c>
      <c r="S57" s="90" t="n">
        <v>45582.5090492593</v>
      </c>
      <c r="T57" s="43" t="s">
        <v>583</v>
      </c>
    </row>
    <row r="58" customFormat="false" ht="15" hidden="false" customHeight="false" outlineLevel="0" collapsed="false">
      <c r="B58" s="82" t="s">
        <v>576</v>
      </c>
      <c r="F58" s="81" t="s">
        <v>530</v>
      </c>
      <c r="K58" s="81" t="n">
        <v>2</v>
      </c>
      <c r="N58" s="90" t="s">
        <v>526</v>
      </c>
      <c r="O58" s="81" t="n">
        <v>52</v>
      </c>
      <c r="P58" s="81" t="n">
        <v>8</v>
      </c>
      <c r="Q58" s="81" t="s">
        <v>402</v>
      </c>
      <c r="R58" s="81" t="s">
        <v>389</v>
      </c>
      <c r="S58" s="90" t="n">
        <v>45582.5102996065</v>
      </c>
      <c r="T58" s="43" t="s">
        <v>104</v>
      </c>
    </row>
    <row r="59" customFormat="false" ht="201.1" hidden="false" customHeight="false" outlineLevel="0" collapsed="false">
      <c r="D59" s="81" t="s">
        <v>520</v>
      </c>
      <c r="E59" s="82" t="s">
        <v>584</v>
      </c>
      <c r="G59" s="81" t="s">
        <v>520</v>
      </c>
      <c r="I59" s="81" t="s">
        <v>520</v>
      </c>
      <c r="L59" s="82" t="s">
        <v>520</v>
      </c>
      <c r="N59" s="90" t="s">
        <v>522</v>
      </c>
      <c r="O59" s="81" t="n">
        <v>53</v>
      </c>
      <c r="Q59" s="81" t="s">
        <v>402</v>
      </c>
      <c r="R59" s="81" t="s">
        <v>585</v>
      </c>
      <c r="S59" s="90" t="n">
        <v>45582.5102996065</v>
      </c>
      <c r="T59" s="43" t="s">
        <v>586</v>
      </c>
    </row>
    <row r="60" customFormat="false" ht="26.1" hidden="false" customHeight="false" outlineLevel="0" collapsed="false">
      <c r="B60" s="82" t="s">
        <v>525</v>
      </c>
      <c r="F60" s="81" t="s">
        <v>520</v>
      </c>
      <c r="K60" s="81" t="n">
        <v>2</v>
      </c>
      <c r="N60" s="90" t="s">
        <v>526</v>
      </c>
      <c r="O60" s="81" t="n">
        <v>54</v>
      </c>
      <c r="P60" s="81" t="n">
        <v>8</v>
      </c>
      <c r="Q60" s="81" t="s">
        <v>402</v>
      </c>
      <c r="R60" s="81" t="s">
        <v>585</v>
      </c>
      <c r="S60" s="90" t="n">
        <v>45582.5119485648</v>
      </c>
      <c r="T60" s="43" t="s">
        <v>105</v>
      </c>
    </row>
    <row r="61" customFormat="false" ht="101.1" hidden="false" customHeight="false" outlineLevel="0" collapsed="false">
      <c r="D61" s="81" t="s">
        <v>520</v>
      </c>
      <c r="I61" s="81" t="s">
        <v>530</v>
      </c>
      <c r="J61" s="82" t="s">
        <v>544</v>
      </c>
      <c r="L61" s="82" t="s">
        <v>520</v>
      </c>
      <c r="M61" s="82" t="s">
        <v>587</v>
      </c>
      <c r="N61" s="91" t="s">
        <v>522</v>
      </c>
      <c r="O61" s="81" t="n">
        <v>55</v>
      </c>
      <c r="R61" s="81" t="s">
        <v>585</v>
      </c>
      <c r="S61" s="91" t="n">
        <v>45582.5120833333</v>
      </c>
      <c r="T61" s="43" t="s">
        <v>588</v>
      </c>
    </row>
  </sheetData>
  <conditionalFormatting sqref="N2:S105">
    <cfRule type="expression" priority="2" aboveAverage="0" equalAverage="0" bottom="0" percent="0" rank="0" text="" dxfId="20">
      <formula>$N2="agent"</formula>
    </cfRule>
  </conditionalFormatting>
  <conditionalFormatting sqref="S2">
    <cfRule type="expression" priority="3" aboveAverage="0" equalAverage="0" bottom="0" percent="0" rank="0" text="" dxfId="21">
      <formula>$N3="agent"</formula>
    </cfRule>
  </conditionalFormatting>
  <conditionalFormatting sqref="A1:S1 T1:XFD3">
    <cfRule type="expression" priority="4" aboveAverage="0" equalAverage="0" bottom="0" percent="0" rank="0" text="" dxfId="22">
      <formula>$N1="agent"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41" activePane="bottomLeft" state="frozen"/>
      <selection pane="topLeft" activeCell="A1" activeCellId="0" sqref="A1"/>
      <selection pane="bottomLeft" activeCell="R2" activeCellId="0" sqref="R2"/>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5.86"/>
    <col collapsed="false" customWidth="true" hidden="false" outlineLevel="0" max="3" min="3" style="81" width="16.14"/>
    <col collapsed="false" customWidth="true" hidden="false" outlineLevel="0" max="4" min="4" style="81" width="9.29"/>
    <col collapsed="false" customWidth="true" hidden="false" outlineLevel="0" max="5" min="5" style="82" width="14.29"/>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15.29"/>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29"/>
    <col collapsed="false" customWidth="true" hidden="false" outlineLevel="0" max="19" min="19" style="81" width="18.14"/>
    <col collapsed="false" customWidth="true" hidden="false" outlineLevel="0" max="20" min="20" style="50"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589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n">
        <f aca="false">COUNTIF(C7:C100,"y")/(COUNTIF(C7:C100,"y")+COUNTIF(C7:C100,"n"))</f>
        <v>0.533333333333333</v>
      </c>
      <c r="D2" s="86" t="n">
        <f aca="false">COUNTIF(D7:D100,"y")/(COUNTIF(D7:D100,"y")+COUNTIF(D7:D100,"n"))</f>
        <v>0.80952380952381</v>
      </c>
      <c r="E2" s="86"/>
      <c r="F2" s="86" t="n">
        <f aca="false">COUNTIF(F7:F100,"y")/(COUNTIF(F7:F100,"y")+COUNTIF(F7:F100,"n"))</f>
        <v>0.85</v>
      </c>
      <c r="G2" s="86" t="n">
        <f aca="false">COUNTIF(G7:G100,"y")/(COUNTIF(G7:G100,"y")+COUNTIF(G7:G100,"n"))</f>
        <v>0.666666666666667</v>
      </c>
      <c r="H2" s="86"/>
      <c r="I2" s="86" t="n">
        <f aca="false">COUNTIF(I7:I100,"y")/(COUNTIF(I7:I100,"y")+COUNTIF(I7:I100,"n"))</f>
        <v>0.714285714285714</v>
      </c>
      <c r="J2" s="86"/>
      <c r="K2" s="86" t="n">
        <f aca="false">COUNTIF(K7:K100,"1")</f>
        <v>0</v>
      </c>
      <c r="L2" s="86" t="n">
        <f aca="false">COUNTIF(L7:L100,"y")/(COUNTIF(L7:L100,"y")+COUNTIF(L7:L100,"n"))</f>
        <v>0.85</v>
      </c>
      <c r="M2" s="86"/>
      <c r="O2" s="87" t="n">
        <f aca="false" t="array" ref="O2:O2">LOOKUP(2,1/(O:O&lt;&gt;""),O:O)</f>
        <v>41</v>
      </c>
      <c r="R2" s="83" t="n">
        <f aca="false">COUNTIF(R7:R100,"strategy")/2</f>
        <v>12</v>
      </c>
      <c r="S2" s="88" t="n">
        <f aca="false" t="array" ref="S2:S2">LOOKUP(2,1/(S:S&lt;&gt;""),S:S)-S7</f>
        <v>0.0189096411995602</v>
      </c>
      <c r="T2" s="85"/>
    </row>
    <row r="3" s="83" customFormat="true" ht="15" hidden="false" customHeight="false" outlineLevel="0" collapsed="false">
      <c r="B3" s="89"/>
      <c r="C3" s="89"/>
      <c r="D3" s="89"/>
      <c r="E3" s="89"/>
      <c r="F3" s="89"/>
      <c r="G3" s="89"/>
      <c r="H3" s="89"/>
      <c r="I3" s="89"/>
      <c r="J3" s="89"/>
      <c r="K3" s="86" t="n">
        <f aca="false">COUNTIF(K7:K100,"2")</f>
        <v>0</v>
      </c>
      <c r="L3" s="89"/>
      <c r="M3" s="89"/>
      <c r="R3" s="83" t="n">
        <f aca="false">COUNTIF(R7:R100,"frequency")/2</f>
        <v>7</v>
      </c>
      <c r="T3" s="85"/>
    </row>
    <row r="4" s="83" customFormat="true" ht="15" hidden="false" customHeight="false" outlineLevel="0" collapsed="false">
      <c r="B4" s="89"/>
      <c r="C4" s="89"/>
      <c r="D4" s="89"/>
      <c r="E4" s="89"/>
      <c r="F4" s="89"/>
      <c r="G4" s="89"/>
      <c r="H4" s="89"/>
      <c r="I4" s="89"/>
      <c r="J4" s="89"/>
      <c r="K4" s="86" t="n">
        <f aca="false">COUNTIF(K7:K100,"3")</f>
        <v>20</v>
      </c>
      <c r="L4" s="89"/>
      <c r="M4" s="89"/>
      <c r="R4" s="83" t="n">
        <f aca="false">CEILING(COUNTIF(R7:R100,"complete")/2,1)</f>
        <v>1</v>
      </c>
      <c r="T4" s="85"/>
    </row>
    <row r="5" s="83" customFormat="true" ht="15" hidden="false" customHeight="false" outlineLevel="0" collapsed="false">
      <c r="B5" s="89"/>
      <c r="C5" s="89"/>
      <c r="D5" s="89"/>
      <c r="E5" s="89"/>
      <c r="F5" s="89"/>
      <c r="G5" s="89"/>
      <c r="H5" s="89"/>
      <c r="I5" s="89"/>
      <c r="J5" s="89"/>
      <c r="K5" s="86" t="n">
        <f aca="false">COUNTIF(K7:K100,"4")</f>
        <v>0</v>
      </c>
      <c r="L5" s="89"/>
      <c r="M5" s="89"/>
      <c r="T5" s="85"/>
    </row>
    <row r="6" s="92" customFormat="true" ht="15" hidden="false" customHeight="false" outlineLevel="0" collapsed="false">
      <c r="B6" s="93"/>
      <c r="C6" s="93"/>
      <c r="D6" s="93"/>
      <c r="E6" s="93"/>
      <c r="F6" s="93"/>
      <c r="G6" s="93"/>
      <c r="H6" s="93"/>
      <c r="I6" s="93"/>
      <c r="J6" s="93"/>
      <c r="K6" s="94" t="n">
        <f aca="false">COUNTIF(K7:K100,"5")</f>
        <v>0</v>
      </c>
      <c r="L6" s="93"/>
      <c r="M6" s="93"/>
      <c r="T6" s="95"/>
    </row>
    <row r="7" s="96" customFormat="true" ht="26.1" hidden="false" customHeight="false" outlineLevel="0" collapsed="false">
      <c r="B7" s="97"/>
      <c r="D7" s="96" t="s">
        <v>520</v>
      </c>
      <c r="E7" s="97"/>
      <c r="I7" s="96" t="s">
        <v>520</v>
      </c>
      <c r="J7" s="97"/>
      <c r="L7" s="97"/>
      <c r="M7" s="97"/>
      <c r="N7" s="90" t="s">
        <v>522</v>
      </c>
      <c r="O7" s="96" t="n">
        <v>1</v>
      </c>
      <c r="R7" s="96" t="s">
        <v>523</v>
      </c>
      <c r="S7" s="98" t="n">
        <v>45583.6065020023</v>
      </c>
      <c r="T7" s="99" t="s">
        <v>524</v>
      </c>
    </row>
    <row r="8" customFormat="false" ht="15" hidden="false" customHeight="false" outlineLevel="0" collapsed="false">
      <c r="B8" s="82" t="s">
        <v>525</v>
      </c>
      <c r="F8" s="81" t="s">
        <v>520</v>
      </c>
      <c r="K8" s="81" t="n">
        <v>3</v>
      </c>
      <c r="N8" s="90" t="s">
        <v>526</v>
      </c>
      <c r="O8" s="81" t="n">
        <v>2</v>
      </c>
      <c r="R8" s="81" t="s">
        <v>523</v>
      </c>
      <c r="S8" s="90" t="n">
        <v>45583.6067376968</v>
      </c>
      <c r="T8" s="50" t="s">
        <v>106</v>
      </c>
    </row>
    <row r="9" customFormat="false" ht="101.1" hidden="false" customHeight="false" outlineLevel="0" collapsed="false">
      <c r="D9" s="81" t="s">
        <v>520</v>
      </c>
      <c r="I9" s="81" t="s">
        <v>520</v>
      </c>
      <c r="L9" s="82" t="s">
        <v>520</v>
      </c>
      <c r="N9" s="90" t="s">
        <v>522</v>
      </c>
      <c r="O9" s="81" t="n">
        <v>3</v>
      </c>
      <c r="P9" s="81" t="n">
        <v>11</v>
      </c>
      <c r="R9" s="81" t="s">
        <v>389</v>
      </c>
      <c r="S9" s="90" t="n">
        <v>45583.6067376968</v>
      </c>
      <c r="T9" s="100" t="s">
        <v>590</v>
      </c>
    </row>
    <row r="10" s="101" customFormat="true" ht="124.5" hidden="false" customHeight="true" outlineLevel="0" collapsed="false">
      <c r="B10" s="102" t="s">
        <v>591</v>
      </c>
      <c r="C10" s="101" t="s">
        <v>520</v>
      </c>
      <c r="F10" s="101" t="s">
        <v>520</v>
      </c>
      <c r="K10" s="101" t="n">
        <v>3</v>
      </c>
      <c r="N10" s="103" t="s">
        <v>526</v>
      </c>
      <c r="O10" s="101" t="n">
        <v>4</v>
      </c>
      <c r="P10" s="101" t="n">
        <v>11</v>
      </c>
      <c r="R10" s="101" t="s">
        <v>389</v>
      </c>
      <c r="S10" s="103" t="n">
        <v>45583.6072422685</v>
      </c>
      <c r="T10" s="51" t="s">
        <v>107</v>
      </c>
    </row>
    <row r="11" customFormat="false" ht="138.6" hidden="false" customHeight="false" outlineLevel="0" collapsed="false">
      <c r="C11" s="81" t="s">
        <v>520</v>
      </c>
      <c r="D11" s="81" t="s">
        <v>520</v>
      </c>
      <c r="I11" s="81" t="s">
        <v>530</v>
      </c>
      <c r="J11" s="82" t="s">
        <v>532</v>
      </c>
      <c r="L11" s="82" t="s">
        <v>530</v>
      </c>
      <c r="M11" s="82" t="s">
        <v>592</v>
      </c>
      <c r="N11" s="90" t="s">
        <v>522</v>
      </c>
      <c r="O11" s="81" t="n">
        <v>5</v>
      </c>
      <c r="P11" s="81" t="n">
        <v>11</v>
      </c>
      <c r="Q11" s="81" t="s">
        <v>407</v>
      </c>
      <c r="R11" s="81" t="s">
        <v>534</v>
      </c>
      <c r="S11" s="90" t="n">
        <v>45583.6072422685</v>
      </c>
      <c r="T11" s="104" t="s">
        <v>593</v>
      </c>
    </row>
    <row r="12" customFormat="false" ht="15" hidden="false" customHeight="false" outlineLevel="0" collapsed="false">
      <c r="B12" s="82" t="s">
        <v>525</v>
      </c>
      <c r="F12" s="81" t="s">
        <v>520</v>
      </c>
      <c r="K12" s="81" t="n">
        <v>3</v>
      </c>
      <c r="N12" s="90" t="s">
        <v>526</v>
      </c>
      <c r="O12" s="81" t="n">
        <v>6</v>
      </c>
      <c r="P12" s="81" t="n">
        <v>11</v>
      </c>
      <c r="Q12" s="81" t="s">
        <v>407</v>
      </c>
      <c r="R12" s="81" t="s">
        <v>534</v>
      </c>
      <c r="S12" s="90" t="n">
        <v>45583.6078798611</v>
      </c>
      <c r="T12" s="50" t="n">
        <v>4</v>
      </c>
    </row>
    <row r="13" customFormat="false" ht="51.1" hidden="false" customHeight="false" outlineLevel="0" collapsed="false">
      <c r="B13" s="82" t="s">
        <v>525</v>
      </c>
      <c r="D13" s="81" t="s">
        <v>520</v>
      </c>
      <c r="I13" s="81" t="s">
        <v>520</v>
      </c>
      <c r="L13" s="82" t="s">
        <v>520</v>
      </c>
      <c r="N13" s="90" t="s">
        <v>522</v>
      </c>
      <c r="O13" s="81" t="n">
        <v>7</v>
      </c>
      <c r="P13" s="81" t="n">
        <v>11</v>
      </c>
      <c r="Q13" s="81" t="s">
        <v>398</v>
      </c>
      <c r="R13" s="81" t="s">
        <v>534</v>
      </c>
      <c r="S13" s="90" t="n">
        <v>45583.6078798611</v>
      </c>
      <c r="T13" s="104" t="s">
        <v>594</v>
      </c>
    </row>
    <row r="14" customFormat="false" ht="15" hidden="false" customHeight="false" outlineLevel="0" collapsed="false">
      <c r="B14" s="82" t="s">
        <v>525</v>
      </c>
      <c r="F14" s="81" t="s">
        <v>520</v>
      </c>
      <c r="K14" s="81" t="n">
        <v>3</v>
      </c>
      <c r="N14" s="90" t="s">
        <v>526</v>
      </c>
      <c r="O14" s="81" t="n">
        <v>8</v>
      </c>
      <c r="P14" s="81" t="n">
        <v>11</v>
      </c>
      <c r="Q14" s="81" t="s">
        <v>398</v>
      </c>
      <c r="R14" s="81" t="s">
        <v>534</v>
      </c>
      <c r="S14" s="90" t="n">
        <v>45583.6084571065</v>
      </c>
      <c r="T14" s="50" t="n">
        <v>1</v>
      </c>
    </row>
    <row r="15" customFormat="false" ht="113.6" hidden="false" customHeight="false" outlineLevel="0" collapsed="false">
      <c r="D15" s="81" t="s">
        <v>520</v>
      </c>
      <c r="I15" s="81" t="s">
        <v>520</v>
      </c>
      <c r="L15" s="82" t="s">
        <v>520</v>
      </c>
      <c r="N15" s="90" t="s">
        <v>522</v>
      </c>
      <c r="O15" s="81" t="n">
        <v>9</v>
      </c>
      <c r="P15" s="81" t="n">
        <v>8</v>
      </c>
      <c r="Q15" s="81" t="s">
        <v>398</v>
      </c>
      <c r="R15" s="81" t="s">
        <v>389</v>
      </c>
      <c r="S15" s="90" t="n">
        <v>45583.6084571065</v>
      </c>
      <c r="T15" s="104" t="s">
        <v>595</v>
      </c>
    </row>
    <row r="16" customFormat="false" ht="15" hidden="false" customHeight="false" outlineLevel="0" collapsed="false">
      <c r="B16" s="82" t="s">
        <v>596</v>
      </c>
      <c r="C16" s="81" t="s">
        <v>530</v>
      </c>
      <c r="F16" s="81" t="s">
        <v>520</v>
      </c>
      <c r="K16" s="81" t="n">
        <v>3</v>
      </c>
      <c r="N16" s="90" t="s">
        <v>526</v>
      </c>
      <c r="O16" s="81" t="n">
        <v>10</v>
      </c>
      <c r="P16" s="81" t="n">
        <v>8</v>
      </c>
      <c r="Q16" s="81" t="s">
        <v>398</v>
      </c>
      <c r="R16" s="81" t="s">
        <v>389</v>
      </c>
      <c r="S16" s="90" t="n">
        <v>45583.6090893171</v>
      </c>
      <c r="T16" s="50" t="s">
        <v>108</v>
      </c>
    </row>
    <row r="17" customFormat="false" ht="88.6" hidden="false" customHeight="false" outlineLevel="0" collapsed="false">
      <c r="C17" s="81" t="s">
        <v>520</v>
      </c>
      <c r="D17" s="81" t="s">
        <v>520</v>
      </c>
      <c r="I17" s="81" t="s">
        <v>530</v>
      </c>
      <c r="J17" s="82" t="s">
        <v>532</v>
      </c>
      <c r="L17" s="82" t="s">
        <v>530</v>
      </c>
      <c r="M17" s="82" t="s">
        <v>597</v>
      </c>
      <c r="N17" s="90" t="s">
        <v>522</v>
      </c>
      <c r="O17" s="81" t="n">
        <v>11</v>
      </c>
      <c r="P17" s="81" t="n">
        <v>8</v>
      </c>
      <c r="Q17" s="81" t="s">
        <v>397</v>
      </c>
      <c r="R17" s="81" t="s">
        <v>534</v>
      </c>
      <c r="S17" s="90" t="n">
        <v>45583.6090893171</v>
      </c>
      <c r="T17" s="104" t="s">
        <v>598</v>
      </c>
    </row>
    <row r="18" customFormat="false" ht="15" hidden="false" customHeight="false" outlineLevel="0" collapsed="false">
      <c r="B18" s="82" t="s">
        <v>525</v>
      </c>
      <c r="F18" s="81" t="s">
        <v>520</v>
      </c>
      <c r="K18" s="81" t="n">
        <v>3</v>
      </c>
      <c r="N18" s="90" t="s">
        <v>526</v>
      </c>
      <c r="O18" s="81" t="n">
        <v>12</v>
      </c>
      <c r="P18" s="81" t="n">
        <v>8</v>
      </c>
      <c r="Q18" s="81" t="s">
        <v>397</v>
      </c>
      <c r="R18" s="81" t="s">
        <v>534</v>
      </c>
      <c r="S18" s="90" t="n">
        <v>45583.6097142824</v>
      </c>
      <c r="T18" s="50" t="n">
        <v>3</v>
      </c>
    </row>
    <row r="19" customFormat="false" ht="101.1" hidden="false" customHeight="false" outlineLevel="0" collapsed="false">
      <c r="D19" s="81" t="s">
        <v>520</v>
      </c>
      <c r="I19" s="81" t="s">
        <v>520</v>
      </c>
      <c r="L19" s="82" t="s">
        <v>520</v>
      </c>
      <c r="N19" s="90" t="s">
        <v>522</v>
      </c>
      <c r="O19" s="81" t="n">
        <v>13</v>
      </c>
      <c r="P19" s="81" t="n">
        <v>7</v>
      </c>
      <c r="Q19" s="81" t="s">
        <v>397</v>
      </c>
      <c r="R19" s="81" t="s">
        <v>389</v>
      </c>
      <c r="S19" s="90" t="n">
        <v>45583.6097142824</v>
      </c>
      <c r="T19" s="104" t="s">
        <v>599</v>
      </c>
    </row>
    <row r="20" customFormat="false" ht="15" hidden="false" customHeight="false" outlineLevel="0" collapsed="false">
      <c r="B20" s="82" t="s">
        <v>399</v>
      </c>
      <c r="C20" s="81" t="s">
        <v>520</v>
      </c>
      <c r="F20" s="81" t="s">
        <v>520</v>
      </c>
      <c r="K20" s="81" t="n">
        <v>3</v>
      </c>
      <c r="N20" s="90" t="s">
        <v>526</v>
      </c>
      <c r="O20" s="81" t="n">
        <v>14</v>
      </c>
      <c r="P20" s="81" t="n">
        <v>7</v>
      </c>
      <c r="Q20" s="81" t="s">
        <v>397</v>
      </c>
      <c r="R20" s="81" t="s">
        <v>389</v>
      </c>
      <c r="S20" s="90" t="n">
        <v>45583.6105206597</v>
      </c>
      <c r="T20" s="50" t="s">
        <v>109</v>
      </c>
    </row>
    <row r="21" customFormat="false" ht="63.6" hidden="false" customHeight="false" outlineLevel="0" collapsed="false">
      <c r="D21" s="81" t="s">
        <v>520</v>
      </c>
      <c r="I21" s="81" t="s">
        <v>530</v>
      </c>
      <c r="J21" s="82" t="s">
        <v>532</v>
      </c>
      <c r="L21" s="82" t="s">
        <v>530</v>
      </c>
      <c r="N21" s="90" t="s">
        <v>522</v>
      </c>
      <c r="O21" s="81" t="n">
        <v>15</v>
      </c>
      <c r="P21" s="81" t="n">
        <v>7</v>
      </c>
      <c r="Q21" s="81" t="s">
        <v>399</v>
      </c>
      <c r="R21" s="81" t="s">
        <v>534</v>
      </c>
      <c r="S21" s="90" t="n">
        <v>45583.6105206597</v>
      </c>
      <c r="T21" s="104" t="s">
        <v>600</v>
      </c>
    </row>
    <row r="22" customFormat="false" ht="15" hidden="false" customHeight="false" outlineLevel="0" collapsed="false">
      <c r="B22" s="82" t="s">
        <v>525</v>
      </c>
      <c r="F22" s="81" t="s">
        <v>520</v>
      </c>
      <c r="K22" s="81" t="n">
        <v>3</v>
      </c>
      <c r="N22" s="90" t="s">
        <v>526</v>
      </c>
      <c r="O22" s="81" t="n">
        <v>16</v>
      </c>
      <c r="P22" s="81" t="n">
        <v>7</v>
      </c>
      <c r="Q22" s="81" t="s">
        <v>399</v>
      </c>
      <c r="R22" s="81" t="s">
        <v>534</v>
      </c>
      <c r="S22" s="90" t="n">
        <v>45583.6121566204</v>
      </c>
      <c r="T22" s="50" t="n">
        <v>3</v>
      </c>
    </row>
    <row r="23" customFormat="false" ht="101.1" hidden="false" customHeight="false" outlineLevel="0" collapsed="false">
      <c r="D23" s="81" t="s">
        <v>520</v>
      </c>
      <c r="I23" s="81" t="s">
        <v>520</v>
      </c>
      <c r="L23" s="82" t="s">
        <v>520</v>
      </c>
      <c r="N23" s="90" t="s">
        <v>522</v>
      </c>
      <c r="O23" s="81" t="n">
        <v>17</v>
      </c>
      <c r="P23" s="81" t="n">
        <v>9</v>
      </c>
      <c r="Q23" s="81" t="s">
        <v>399</v>
      </c>
      <c r="R23" s="81" t="s">
        <v>389</v>
      </c>
      <c r="S23" s="90" t="n">
        <v>45583.6121566204</v>
      </c>
      <c r="T23" s="104" t="s">
        <v>601</v>
      </c>
    </row>
    <row r="24" customFormat="false" ht="15" hidden="false" customHeight="false" outlineLevel="0" collapsed="false">
      <c r="B24" s="82" t="s">
        <v>525</v>
      </c>
      <c r="F24" s="81" t="s">
        <v>530</v>
      </c>
      <c r="K24" s="81" t="n">
        <v>3</v>
      </c>
      <c r="N24" s="90" t="s">
        <v>526</v>
      </c>
      <c r="O24" s="81" t="n">
        <v>18</v>
      </c>
      <c r="P24" s="81" t="n">
        <v>9</v>
      </c>
      <c r="Q24" s="81" t="s">
        <v>399</v>
      </c>
      <c r="R24" s="81" t="s">
        <v>389</v>
      </c>
      <c r="S24" s="90" t="n">
        <v>45583.6135203009</v>
      </c>
      <c r="T24" s="50" t="s">
        <v>110</v>
      </c>
    </row>
    <row r="25" customFormat="false" ht="51.1" hidden="false" customHeight="false" outlineLevel="0" collapsed="false">
      <c r="D25" s="81" t="s">
        <v>530</v>
      </c>
      <c r="G25" s="81" t="s">
        <v>530</v>
      </c>
      <c r="I25" s="81" t="s">
        <v>520</v>
      </c>
      <c r="L25" s="82" t="s">
        <v>520</v>
      </c>
      <c r="N25" s="90" t="s">
        <v>522</v>
      </c>
      <c r="O25" s="81" t="n">
        <v>19</v>
      </c>
      <c r="P25" s="81" t="n">
        <v>9</v>
      </c>
      <c r="Q25" s="81" t="s">
        <v>399</v>
      </c>
      <c r="R25" s="81" t="s">
        <v>389</v>
      </c>
      <c r="S25" s="90" t="n">
        <v>45583.6135203009</v>
      </c>
      <c r="T25" s="104" t="s">
        <v>602</v>
      </c>
    </row>
    <row r="26" customFormat="false" ht="15" hidden="false" customHeight="false" outlineLevel="0" collapsed="false">
      <c r="B26" s="82" t="s">
        <v>603</v>
      </c>
      <c r="C26" s="81" t="s">
        <v>530</v>
      </c>
      <c r="F26" s="81" t="s">
        <v>520</v>
      </c>
      <c r="K26" s="81" t="n">
        <v>3</v>
      </c>
      <c r="N26" s="90" t="s">
        <v>526</v>
      </c>
      <c r="O26" s="81" t="n">
        <v>20</v>
      </c>
      <c r="P26" s="81" t="n">
        <v>9</v>
      </c>
      <c r="Q26" s="81" t="s">
        <v>399</v>
      </c>
      <c r="R26" s="81" t="s">
        <v>389</v>
      </c>
      <c r="S26" s="90" t="n">
        <v>45583.6144690278</v>
      </c>
      <c r="T26" s="50" t="s">
        <v>111</v>
      </c>
    </row>
    <row r="27" customFormat="false" ht="38.6" hidden="false" customHeight="false" outlineLevel="0" collapsed="false">
      <c r="C27" s="81" t="s">
        <v>530</v>
      </c>
      <c r="D27" s="81" t="s">
        <v>530</v>
      </c>
      <c r="I27" s="81" t="s">
        <v>520</v>
      </c>
      <c r="L27" s="82" t="s">
        <v>520</v>
      </c>
      <c r="N27" s="90" t="s">
        <v>522</v>
      </c>
      <c r="O27" s="81" t="n">
        <v>21</v>
      </c>
      <c r="P27" s="81" t="n">
        <v>9</v>
      </c>
      <c r="Q27" s="81" t="s">
        <v>399</v>
      </c>
      <c r="R27" s="81" t="s">
        <v>389</v>
      </c>
      <c r="S27" s="90" t="n">
        <v>45583.6144690278</v>
      </c>
      <c r="T27" s="104" t="s">
        <v>604</v>
      </c>
    </row>
    <row r="28" customFormat="false" ht="15" hidden="false" customHeight="false" outlineLevel="0" collapsed="false">
      <c r="B28" s="82" t="s">
        <v>403</v>
      </c>
      <c r="C28" s="81" t="s">
        <v>530</v>
      </c>
      <c r="F28" s="81" t="s">
        <v>520</v>
      </c>
      <c r="K28" s="81" t="n">
        <v>3</v>
      </c>
      <c r="N28" s="90" t="s">
        <v>526</v>
      </c>
      <c r="O28" s="81" t="n">
        <v>22</v>
      </c>
      <c r="P28" s="81" t="n">
        <v>9</v>
      </c>
      <c r="Q28" s="81" t="s">
        <v>399</v>
      </c>
      <c r="R28" s="81" t="s">
        <v>389</v>
      </c>
      <c r="S28" s="90" t="n">
        <v>45583.615058588</v>
      </c>
      <c r="T28" s="50" t="s">
        <v>112</v>
      </c>
    </row>
    <row r="29" customFormat="false" ht="138.6" hidden="false" customHeight="false" outlineLevel="0" collapsed="false">
      <c r="D29" s="81" t="s">
        <v>520</v>
      </c>
      <c r="I29" s="81" t="s">
        <v>520</v>
      </c>
      <c r="L29" s="82" t="s">
        <v>520</v>
      </c>
      <c r="N29" s="90" t="s">
        <v>522</v>
      </c>
      <c r="O29" s="81" t="n">
        <v>23</v>
      </c>
      <c r="P29" s="81" t="n">
        <v>9</v>
      </c>
      <c r="Q29" s="81" t="s">
        <v>398</v>
      </c>
      <c r="R29" s="81" t="s">
        <v>534</v>
      </c>
      <c r="S29" s="90" t="n">
        <v>45583.615058588</v>
      </c>
      <c r="T29" s="104" t="s">
        <v>605</v>
      </c>
    </row>
    <row r="30" customFormat="false" ht="15" hidden="false" customHeight="false" outlineLevel="0" collapsed="false">
      <c r="B30" s="82" t="s">
        <v>525</v>
      </c>
      <c r="F30" s="81" t="s">
        <v>520</v>
      </c>
      <c r="K30" s="81" t="n">
        <v>3</v>
      </c>
      <c r="N30" s="90" t="s">
        <v>526</v>
      </c>
      <c r="O30" s="81" t="n">
        <v>24</v>
      </c>
      <c r="P30" s="81" t="n">
        <v>9</v>
      </c>
      <c r="Q30" s="81" t="s">
        <v>398</v>
      </c>
      <c r="R30" s="81" t="s">
        <v>534</v>
      </c>
      <c r="S30" s="90" t="n">
        <v>45583.6156263194</v>
      </c>
      <c r="T30" s="50" t="n">
        <v>1</v>
      </c>
    </row>
    <row r="31" customFormat="false" ht="51.1" hidden="false" customHeight="false" outlineLevel="0" collapsed="false">
      <c r="D31" s="81" t="s">
        <v>520</v>
      </c>
      <c r="I31" s="81" t="s">
        <v>520</v>
      </c>
      <c r="L31" s="82" t="s">
        <v>520</v>
      </c>
      <c r="N31" s="90" t="s">
        <v>522</v>
      </c>
      <c r="O31" s="81" t="n">
        <v>25</v>
      </c>
      <c r="P31" s="81" t="n">
        <v>12</v>
      </c>
      <c r="Q31" s="81" t="s">
        <v>398</v>
      </c>
      <c r="R31" s="81" t="s">
        <v>389</v>
      </c>
      <c r="S31" s="90" t="n">
        <v>45583.6156263194</v>
      </c>
      <c r="T31" s="104" t="s">
        <v>606</v>
      </c>
    </row>
    <row r="32" customFormat="false" ht="15" hidden="false" customHeight="false" outlineLevel="0" collapsed="false">
      <c r="B32" s="82" t="s">
        <v>410</v>
      </c>
      <c r="C32" s="81" t="s">
        <v>520</v>
      </c>
      <c r="F32" s="81" t="s">
        <v>520</v>
      </c>
      <c r="K32" s="81" t="n">
        <v>3</v>
      </c>
      <c r="N32" s="90" t="s">
        <v>526</v>
      </c>
      <c r="O32" s="81" t="n">
        <v>26</v>
      </c>
      <c r="P32" s="81" t="n">
        <v>12</v>
      </c>
      <c r="Q32" s="81" t="s">
        <v>398</v>
      </c>
      <c r="R32" s="81" t="s">
        <v>389</v>
      </c>
      <c r="S32" s="90" t="n">
        <v>45583.615992581</v>
      </c>
      <c r="T32" s="50" t="s">
        <v>113</v>
      </c>
    </row>
    <row r="33" customFormat="false" ht="15" hidden="false" customHeight="false" outlineLevel="0" collapsed="false">
      <c r="D33" s="81" t="s">
        <v>530</v>
      </c>
      <c r="I33" s="81" t="s">
        <v>520</v>
      </c>
      <c r="L33" s="82" t="s">
        <v>520</v>
      </c>
      <c r="N33" s="90" t="s">
        <v>522</v>
      </c>
      <c r="O33" s="81" t="n">
        <v>27</v>
      </c>
      <c r="P33" s="81" t="n">
        <v>12</v>
      </c>
      <c r="Q33" s="81" t="s">
        <v>398</v>
      </c>
      <c r="R33" s="81" t="s">
        <v>389</v>
      </c>
      <c r="S33" s="90" t="n">
        <v>45583.615992581</v>
      </c>
      <c r="T33" s="104" t="s">
        <v>607</v>
      </c>
    </row>
    <row r="34" customFormat="false" ht="15" hidden="false" customHeight="false" outlineLevel="0" collapsed="false">
      <c r="B34" s="82" t="s">
        <v>603</v>
      </c>
      <c r="C34" s="81" t="s">
        <v>530</v>
      </c>
      <c r="F34" s="81" t="s">
        <v>520</v>
      </c>
      <c r="K34" s="81" t="n">
        <v>3</v>
      </c>
      <c r="N34" s="90" t="s">
        <v>526</v>
      </c>
      <c r="O34" s="81" t="n">
        <v>28</v>
      </c>
      <c r="P34" s="81" t="n">
        <v>12</v>
      </c>
      <c r="Q34" s="81" t="s">
        <v>398</v>
      </c>
      <c r="R34" s="81" t="s">
        <v>389</v>
      </c>
      <c r="S34" s="90" t="n">
        <v>45583.6165445486</v>
      </c>
      <c r="T34" s="50" t="s">
        <v>111</v>
      </c>
    </row>
    <row r="35" customFormat="false" ht="63.6" hidden="false" customHeight="false" outlineLevel="0" collapsed="false">
      <c r="C35" s="81" t="s">
        <v>520</v>
      </c>
      <c r="D35" s="81" t="s">
        <v>520</v>
      </c>
      <c r="I35" s="81" t="s">
        <v>530</v>
      </c>
      <c r="J35" s="82" t="s">
        <v>532</v>
      </c>
      <c r="L35" s="82" t="s">
        <v>520</v>
      </c>
      <c r="N35" s="90" t="s">
        <v>522</v>
      </c>
      <c r="O35" s="81" t="n">
        <v>29</v>
      </c>
      <c r="P35" s="81" t="n">
        <v>12</v>
      </c>
      <c r="Q35" s="81" t="s">
        <v>395</v>
      </c>
      <c r="R35" s="81" t="s">
        <v>534</v>
      </c>
      <c r="S35" s="90" t="n">
        <v>45583.6165445486</v>
      </c>
      <c r="T35" s="104" t="s">
        <v>608</v>
      </c>
    </row>
    <row r="36" customFormat="false" ht="15" hidden="false" customHeight="false" outlineLevel="0" collapsed="false">
      <c r="B36" s="82" t="s">
        <v>525</v>
      </c>
      <c r="F36" s="81" t="s">
        <v>520</v>
      </c>
      <c r="K36" s="81" t="n">
        <v>3</v>
      </c>
      <c r="N36" s="90" t="s">
        <v>526</v>
      </c>
      <c r="O36" s="81" t="n">
        <v>30</v>
      </c>
      <c r="P36" s="81" t="n">
        <v>12</v>
      </c>
      <c r="Q36" s="81" t="s">
        <v>395</v>
      </c>
      <c r="R36" s="81" t="s">
        <v>534</v>
      </c>
      <c r="S36" s="90" t="n">
        <v>45583.6172334491</v>
      </c>
      <c r="T36" s="50" t="n">
        <v>1</v>
      </c>
    </row>
    <row r="37" customFormat="false" ht="51.1" hidden="false" customHeight="false" outlineLevel="0" collapsed="false">
      <c r="D37" s="81" t="s">
        <v>520</v>
      </c>
      <c r="I37" s="81" t="s">
        <v>520</v>
      </c>
      <c r="L37" s="82" t="s">
        <v>520</v>
      </c>
      <c r="N37" s="90" t="s">
        <v>522</v>
      </c>
      <c r="O37" s="81" t="n">
        <v>31</v>
      </c>
      <c r="P37" s="81" t="n">
        <v>10</v>
      </c>
      <c r="Q37" s="81" t="s">
        <v>395</v>
      </c>
      <c r="R37" s="81" t="s">
        <v>389</v>
      </c>
      <c r="S37" s="90" t="n">
        <v>45583.6172334491</v>
      </c>
      <c r="T37" s="104" t="s">
        <v>609</v>
      </c>
    </row>
    <row r="38" customFormat="false" ht="15" hidden="false" customHeight="false" outlineLevel="0" collapsed="false">
      <c r="B38" s="82" t="s">
        <v>410</v>
      </c>
      <c r="C38" s="81" t="s">
        <v>520</v>
      </c>
      <c r="F38" s="81" t="s">
        <v>530</v>
      </c>
      <c r="K38" s="81" t="n">
        <v>3</v>
      </c>
      <c r="N38" s="90" t="s">
        <v>526</v>
      </c>
      <c r="O38" s="81" t="n">
        <v>32</v>
      </c>
      <c r="P38" s="81" t="n">
        <v>10</v>
      </c>
      <c r="Q38" s="81" t="s">
        <v>395</v>
      </c>
      <c r="R38" s="81" t="s">
        <v>389</v>
      </c>
      <c r="S38" s="90" t="n">
        <v>45583.6211729051</v>
      </c>
      <c r="T38" s="50" t="s">
        <v>114</v>
      </c>
    </row>
    <row r="39" customFormat="false" ht="63.6" hidden="false" customHeight="false" outlineLevel="0" collapsed="false">
      <c r="D39" s="81" t="s">
        <v>520</v>
      </c>
      <c r="G39" s="81" t="s">
        <v>520</v>
      </c>
      <c r="I39" s="81" t="s">
        <v>530</v>
      </c>
      <c r="J39" s="82" t="s">
        <v>532</v>
      </c>
      <c r="L39" s="82" t="s">
        <v>520</v>
      </c>
      <c r="M39" s="82" t="s">
        <v>536</v>
      </c>
      <c r="N39" s="90" t="s">
        <v>522</v>
      </c>
      <c r="O39" s="81" t="n">
        <v>33</v>
      </c>
      <c r="P39" s="81" t="n">
        <v>10</v>
      </c>
      <c r="Q39" s="81" t="s">
        <v>395</v>
      </c>
      <c r="R39" s="81" t="s">
        <v>389</v>
      </c>
      <c r="S39" s="90" t="n">
        <v>45583.6211729051</v>
      </c>
      <c r="T39" s="104" t="s">
        <v>610</v>
      </c>
    </row>
    <row r="40" customFormat="false" ht="15" hidden="false" customHeight="false" outlineLevel="0" collapsed="false">
      <c r="B40" s="82" t="s">
        <v>410</v>
      </c>
      <c r="C40" s="81" t="s">
        <v>520</v>
      </c>
      <c r="F40" s="81" t="s">
        <v>530</v>
      </c>
      <c r="K40" s="81" t="n">
        <v>3</v>
      </c>
      <c r="N40" s="90" t="s">
        <v>526</v>
      </c>
      <c r="O40" s="81" t="n">
        <v>34</v>
      </c>
      <c r="P40" s="81" t="n">
        <v>10</v>
      </c>
      <c r="Q40" s="81" t="s">
        <v>395</v>
      </c>
      <c r="R40" s="81" t="s">
        <v>389</v>
      </c>
      <c r="S40" s="90" t="n">
        <v>45583.6219486458</v>
      </c>
      <c r="T40" s="50" t="s">
        <v>115</v>
      </c>
    </row>
    <row r="41" customFormat="false" ht="26.1" hidden="false" customHeight="false" outlineLevel="0" collapsed="false">
      <c r="D41" s="81" t="s">
        <v>520</v>
      </c>
      <c r="G41" s="81" t="s">
        <v>520</v>
      </c>
      <c r="I41" s="81" t="s">
        <v>520</v>
      </c>
      <c r="L41" s="82" t="s">
        <v>520</v>
      </c>
      <c r="N41" s="90" t="s">
        <v>522</v>
      </c>
      <c r="O41" s="81" t="n">
        <v>35</v>
      </c>
      <c r="P41" s="81" t="n">
        <v>10</v>
      </c>
      <c r="Q41" s="81" t="s">
        <v>395</v>
      </c>
      <c r="R41" s="81" t="s">
        <v>389</v>
      </c>
      <c r="S41" s="90" t="n">
        <v>45583.6219486458</v>
      </c>
      <c r="T41" s="104" t="s">
        <v>611</v>
      </c>
    </row>
    <row r="42" customFormat="false" ht="15" hidden="false" customHeight="false" outlineLevel="0" collapsed="false">
      <c r="B42" s="82" t="s">
        <v>396</v>
      </c>
      <c r="C42" s="81" t="s">
        <v>530</v>
      </c>
      <c r="F42" s="81" t="s">
        <v>520</v>
      </c>
      <c r="K42" s="81" t="n">
        <v>3</v>
      </c>
      <c r="N42" s="90" t="s">
        <v>526</v>
      </c>
      <c r="O42" s="81" t="n">
        <v>36</v>
      </c>
      <c r="P42" s="81" t="n">
        <v>10</v>
      </c>
      <c r="Q42" s="81" t="s">
        <v>395</v>
      </c>
      <c r="R42" s="81" t="s">
        <v>389</v>
      </c>
      <c r="S42" s="90" t="n">
        <v>45583.6230347338</v>
      </c>
      <c r="T42" s="50" t="s">
        <v>116</v>
      </c>
    </row>
    <row r="43" customFormat="false" ht="26.1" hidden="false" customHeight="false" outlineLevel="0" collapsed="false">
      <c r="D43" s="81" t="s">
        <v>520</v>
      </c>
      <c r="I43" s="81" t="s">
        <v>520</v>
      </c>
      <c r="L43" s="82" t="s">
        <v>520</v>
      </c>
      <c r="N43" s="90" t="s">
        <v>522</v>
      </c>
      <c r="O43" s="81" t="n">
        <v>37</v>
      </c>
      <c r="P43" s="81" t="n">
        <v>10</v>
      </c>
      <c r="Q43" s="81" t="s">
        <v>395</v>
      </c>
      <c r="R43" s="81" t="s">
        <v>389</v>
      </c>
      <c r="S43" s="90" t="n">
        <v>45583.6230347338</v>
      </c>
      <c r="T43" s="104" t="s">
        <v>612</v>
      </c>
    </row>
    <row r="44" customFormat="false" ht="15" hidden="false" customHeight="false" outlineLevel="0" collapsed="false">
      <c r="B44" s="82" t="s">
        <v>410</v>
      </c>
      <c r="C44" s="81" t="s">
        <v>530</v>
      </c>
      <c r="F44" s="81" t="s">
        <v>520</v>
      </c>
      <c r="K44" s="81" t="n">
        <v>3</v>
      </c>
      <c r="N44" s="90" t="s">
        <v>526</v>
      </c>
      <c r="O44" s="81" t="n">
        <v>38</v>
      </c>
      <c r="P44" s="81" t="n">
        <v>10</v>
      </c>
      <c r="Q44" s="81" t="s">
        <v>395</v>
      </c>
      <c r="R44" s="81" t="s">
        <v>389</v>
      </c>
      <c r="S44" s="90" t="n">
        <v>45583.6241531945</v>
      </c>
      <c r="T44" s="50" t="s">
        <v>117</v>
      </c>
    </row>
    <row r="45" customFormat="false" ht="63.6" hidden="false" customHeight="false" outlineLevel="0" collapsed="false">
      <c r="D45" s="81" t="s">
        <v>520</v>
      </c>
      <c r="I45" s="81" t="s">
        <v>530</v>
      </c>
      <c r="J45" s="82" t="s">
        <v>532</v>
      </c>
      <c r="L45" s="82" t="s">
        <v>520</v>
      </c>
      <c r="N45" s="90" t="s">
        <v>522</v>
      </c>
      <c r="O45" s="81" t="n">
        <v>39</v>
      </c>
      <c r="P45" s="81" t="n">
        <v>10</v>
      </c>
      <c r="Q45" s="81" t="s">
        <v>393</v>
      </c>
      <c r="R45" s="81" t="s">
        <v>534</v>
      </c>
      <c r="S45" s="90" t="n">
        <v>45583.6241531945</v>
      </c>
      <c r="T45" s="104" t="s">
        <v>613</v>
      </c>
    </row>
    <row r="46" customFormat="false" ht="15" hidden="false" customHeight="false" outlineLevel="0" collapsed="false">
      <c r="B46" s="82" t="s">
        <v>525</v>
      </c>
      <c r="F46" s="81" t="s">
        <v>520</v>
      </c>
      <c r="K46" s="81" t="n">
        <v>3</v>
      </c>
      <c r="N46" s="90" t="s">
        <v>526</v>
      </c>
      <c r="O46" s="81" t="n">
        <v>40</v>
      </c>
      <c r="P46" s="81" t="n">
        <v>10</v>
      </c>
      <c r="Q46" s="81" t="s">
        <v>393</v>
      </c>
      <c r="R46" s="81" t="s">
        <v>534</v>
      </c>
      <c r="S46" s="90" t="n">
        <v>45583.6254116435</v>
      </c>
      <c r="T46" s="50" t="n">
        <v>3</v>
      </c>
    </row>
    <row r="47" customFormat="false" ht="76.1" hidden="false" customHeight="false" outlineLevel="0" collapsed="false">
      <c r="D47" s="81" t="s">
        <v>530</v>
      </c>
      <c r="E47" s="82" t="s">
        <v>614</v>
      </c>
      <c r="I47" s="81" t="s">
        <v>520</v>
      </c>
      <c r="L47" s="82" t="s">
        <v>520</v>
      </c>
      <c r="N47" s="90" t="s">
        <v>522</v>
      </c>
      <c r="O47" s="81" t="n">
        <v>41</v>
      </c>
      <c r="Q47" s="81" t="s">
        <v>393</v>
      </c>
      <c r="R47" s="81" t="s">
        <v>585</v>
      </c>
      <c r="S47" s="90" t="n">
        <v>45583.6254116435</v>
      </c>
      <c r="T47" s="104" t="s">
        <v>615</v>
      </c>
    </row>
    <row r="48" customFormat="false" ht="15" hidden="false" customHeight="false" outlineLevel="0" collapsed="false">
      <c r="N48" s="90"/>
      <c r="S48" s="90"/>
    </row>
    <row r="49" customFormat="false" ht="15" hidden="false" customHeight="false" outlineLevel="0" collapsed="false">
      <c r="N49" s="90"/>
      <c r="S49" s="90"/>
    </row>
    <row r="50" customFormat="false" ht="15" hidden="false" customHeight="false" outlineLevel="0" collapsed="false">
      <c r="N50" s="90"/>
      <c r="S50" s="90"/>
    </row>
    <row r="51" customFormat="false" ht="15" hidden="false" customHeight="false" outlineLevel="0" collapsed="false">
      <c r="N51" s="90"/>
      <c r="S51" s="90"/>
    </row>
    <row r="52" customFormat="false" ht="15" hidden="false" customHeight="false" outlineLevel="0" collapsed="false">
      <c r="N52" s="90"/>
      <c r="S52" s="90"/>
    </row>
    <row r="53" customFormat="false" ht="15" hidden="false" customHeight="false" outlineLevel="0" collapsed="false">
      <c r="N53" s="90"/>
      <c r="S53" s="90"/>
    </row>
    <row r="54" customFormat="false" ht="15" hidden="false" customHeight="false" outlineLevel="0" collapsed="false">
      <c r="N54" s="90"/>
      <c r="S54" s="90"/>
    </row>
    <row r="55" customFormat="false" ht="15" hidden="false" customHeight="false" outlineLevel="0" collapsed="false">
      <c r="N55" s="90"/>
      <c r="S55" s="90"/>
    </row>
    <row r="56" customFormat="false" ht="15" hidden="false" customHeight="false" outlineLevel="0" collapsed="false">
      <c r="N56" s="90"/>
      <c r="S56" s="90"/>
    </row>
    <row r="57" customFormat="false" ht="15" hidden="false" customHeight="false" outlineLevel="0" collapsed="false">
      <c r="N57" s="90"/>
      <c r="S57" s="90"/>
    </row>
    <row r="58" customFormat="false" ht="15" hidden="false" customHeight="false" outlineLevel="0" collapsed="false">
      <c r="N58" s="90"/>
      <c r="S58" s="90"/>
    </row>
    <row r="59" customFormat="false" ht="15" hidden="false" customHeight="false" outlineLevel="0" collapsed="false">
      <c r="N59" s="90"/>
      <c r="S59" s="90"/>
    </row>
    <row r="60" customFormat="false" ht="15" hidden="false" customHeight="false" outlineLevel="0" collapsed="false">
      <c r="N60" s="90"/>
      <c r="S60" s="90"/>
    </row>
    <row r="61" customFormat="false" ht="15" hidden="false" customHeight="false" outlineLevel="0" collapsed="false">
      <c r="N61" s="91"/>
      <c r="S61" s="91"/>
    </row>
  </sheetData>
  <conditionalFormatting sqref="N2:S105">
    <cfRule type="expression" priority="2" aboveAverage="0" equalAverage="0" bottom="0" percent="0" rank="0" text="" dxfId="23">
      <formula>$N2="agent"</formula>
    </cfRule>
  </conditionalFormatting>
  <conditionalFormatting sqref="S2">
    <cfRule type="expression" priority="3" aboveAverage="0" equalAverage="0" bottom="0" percent="0" rank="0" text="" dxfId="24">
      <formula>$N3="agent"</formula>
    </cfRule>
  </conditionalFormatting>
  <conditionalFormatting sqref="T9">
    <cfRule type="expression" priority="4" aboveAverage="0" equalAverage="0" bottom="0" percent="0" rank="0" text="" dxfId="25">
      <formula>$N9="agent"</formula>
    </cfRule>
  </conditionalFormatting>
  <conditionalFormatting sqref="T7">
    <cfRule type="expression" priority="5" aboveAverage="0" equalAverage="0" bottom="0" percent="0" rank="0" text="" dxfId="26">
      <formula>$N7="agent"</formula>
    </cfRule>
  </conditionalFormatting>
  <conditionalFormatting sqref="A1:S1 T1:XFD3">
    <cfRule type="expression" priority="6" aboveAverage="0" equalAverage="0" bottom="0" percent="0" rank="0" text="" dxfId="27">
      <formula>$N1="agent"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1"/>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pane xSplit="0" ySplit="1" topLeftCell="A45" activePane="bottomLeft" state="frozen"/>
      <selection pane="topLeft" activeCell="I1" activeCellId="0" sqref="I1"/>
      <selection pane="bottomLeft" activeCell="R48" activeCellId="0" sqref="R48"/>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9.43"/>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86"/>
    <col collapsed="false" customWidth="true" hidden="false" outlineLevel="0" max="19" min="19" style="81" width="18.14"/>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n">
        <f aca="false">COUNTIF(C7:C100,"y")/(COUNTIF(C7:C100,"y")+COUNTIF(C7:C100,"n"))</f>
        <v>0.636363636363636</v>
      </c>
      <c r="D2" s="86" t="n">
        <f aca="false">COUNTIF(D7:D100,"y")/(COUNTIF(D7:D100,"y")+COUNTIF(D7:D100,"n"))</f>
        <v>0.9</v>
      </c>
      <c r="E2" s="86"/>
      <c r="F2" s="86" t="n">
        <f aca="false">COUNTIF(F7:F100,"y")/(COUNTIF(F7:F100,"y")+COUNTIF(F7:F100,"n"))</f>
        <v>0.894736842105263</v>
      </c>
      <c r="G2" s="86" t="n">
        <f aca="false">COUNTIF(G7:G100,"y")/(COUNTIF(G7:G100,"y")+COUNTIF(G7:G100,"n"))</f>
        <v>1</v>
      </c>
      <c r="H2" s="86"/>
      <c r="I2" s="86" t="n">
        <f aca="false">COUNTIF(I7:I100,"y")/(COUNTIF(I7:I100,"y")+COUNTIF(I7:I100,"n"))</f>
        <v>0.857142857142857</v>
      </c>
      <c r="J2" s="86"/>
      <c r="K2" s="86" t="n">
        <f aca="false">COUNTIF(K7:K100,"1")</f>
        <v>0</v>
      </c>
      <c r="L2" s="86" t="n">
        <f aca="false">COUNTIF(L7:L100,"y")/(COUNTIF(L7:L100,"y")+COUNTIF(L7:L100,"n"))</f>
        <v>0.85</v>
      </c>
      <c r="M2" s="86"/>
      <c r="O2" s="87" t="n">
        <f aca="false" t="array" ref="O2:O2">LOOKUP(2,1/(O:O&lt;&gt;""),O:O)</f>
        <v>41</v>
      </c>
      <c r="R2" s="83" t="n">
        <f aca="false">COUNTIF(R7:R100,"strategy")/2</f>
        <v>7</v>
      </c>
      <c r="S2" s="88" t="n">
        <f aca="false" t="array" ref="S2:S2">LOOKUP(2,1/(S:S&lt;&gt;""),S:S)-S7</f>
        <v>0.0237194675937616</v>
      </c>
      <c r="T2" s="85"/>
    </row>
    <row r="3" s="83" customFormat="true" ht="15" hidden="false" customHeight="false" outlineLevel="0" collapsed="false">
      <c r="B3" s="89"/>
      <c r="C3" s="89"/>
      <c r="D3" s="89"/>
      <c r="E3" s="89"/>
      <c r="F3" s="89"/>
      <c r="G3" s="89"/>
      <c r="H3" s="89"/>
      <c r="I3" s="89"/>
      <c r="J3" s="89"/>
      <c r="K3" s="86" t="n">
        <f aca="false">COUNTIF(K7:K100,"2")</f>
        <v>0</v>
      </c>
      <c r="L3" s="89"/>
      <c r="M3" s="89"/>
      <c r="R3" s="83" t="n">
        <f aca="false">COUNTIF(R7:R100,"frequency")/2</f>
        <v>11</v>
      </c>
      <c r="T3" s="85"/>
    </row>
    <row r="4" s="83" customFormat="true" ht="15" hidden="false" customHeight="false" outlineLevel="0" collapsed="false">
      <c r="B4" s="89"/>
      <c r="C4" s="89"/>
      <c r="D4" s="89"/>
      <c r="E4" s="89"/>
      <c r="F4" s="89"/>
      <c r="G4" s="89"/>
      <c r="H4" s="89"/>
      <c r="I4" s="89"/>
      <c r="J4" s="89"/>
      <c r="K4" s="86" t="n">
        <f aca="false">COUNTIF(K7:K100,"3")</f>
        <v>19</v>
      </c>
      <c r="L4" s="89"/>
      <c r="M4" s="89"/>
      <c r="R4" s="83" t="n">
        <f aca="false">CEILING(COUNTIF(R7:R100,"complete")/2,1)</f>
        <v>2</v>
      </c>
      <c r="S4" s="105"/>
      <c r="T4" s="85"/>
    </row>
    <row r="5" s="83" customFormat="true" ht="15" hidden="false" customHeight="false" outlineLevel="0" collapsed="false">
      <c r="B5" s="89"/>
      <c r="C5" s="89"/>
      <c r="D5" s="89"/>
      <c r="E5" s="89"/>
      <c r="F5" s="89"/>
      <c r="G5" s="89"/>
      <c r="H5" s="89"/>
      <c r="I5" s="89"/>
      <c r="J5" s="89"/>
      <c r="K5" s="86" t="n">
        <f aca="false">COUNTIF(K7:K100,"4")</f>
        <v>1</v>
      </c>
      <c r="L5" s="89"/>
      <c r="M5" s="89"/>
      <c r="T5" s="85"/>
    </row>
    <row r="6" s="92" customFormat="true" ht="15" hidden="false" customHeight="false" outlineLevel="0" collapsed="false">
      <c r="B6" s="93"/>
      <c r="C6" s="93"/>
      <c r="D6" s="93"/>
      <c r="E6" s="93"/>
      <c r="F6" s="93"/>
      <c r="G6" s="93"/>
      <c r="H6" s="93"/>
      <c r="I6" s="93"/>
      <c r="J6" s="93"/>
      <c r="K6" s="94" t="n">
        <f aca="false">COUNTIF(K7:K100,"5")</f>
        <v>0</v>
      </c>
      <c r="L6" s="93"/>
      <c r="M6" s="93"/>
      <c r="T6" s="95"/>
    </row>
    <row r="7" s="96" customFormat="true" ht="51.1" hidden="false" customHeight="false" outlineLevel="0" collapsed="false">
      <c r="B7" s="97"/>
      <c r="D7" s="96" t="s">
        <v>520</v>
      </c>
      <c r="E7" s="97"/>
      <c r="I7" s="96" t="s">
        <v>520</v>
      </c>
      <c r="J7" s="97"/>
      <c r="L7" s="97" t="s">
        <v>525</v>
      </c>
      <c r="M7" s="97"/>
      <c r="N7" s="90" t="s">
        <v>522</v>
      </c>
      <c r="O7" s="96" t="n">
        <v>1</v>
      </c>
      <c r="R7" s="96" t="s">
        <v>523</v>
      </c>
      <c r="S7" s="98" t="n">
        <v>45582.7888152546</v>
      </c>
      <c r="T7" s="52" t="s">
        <v>616</v>
      </c>
    </row>
    <row r="8" customFormat="false" ht="15" hidden="false" customHeight="false" outlineLevel="0" collapsed="false">
      <c r="B8" s="82" t="s">
        <v>525</v>
      </c>
      <c r="F8" s="81" t="s">
        <v>520</v>
      </c>
      <c r="K8" s="81" t="n">
        <v>3</v>
      </c>
      <c r="N8" s="90" t="s">
        <v>526</v>
      </c>
      <c r="O8" s="81" t="n">
        <v>2</v>
      </c>
      <c r="R8" s="81" t="s">
        <v>523</v>
      </c>
      <c r="S8" s="90" t="n">
        <v>45582.7892216551</v>
      </c>
      <c r="T8" s="52" t="s">
        <v>118</v>
      </c>
    </row>
    <row r="9" customFormat="false" ht="88.6" hidden="false" customHeight="false" outlineLevel="0" collapsed="false">
      <c r="D9" s="81" t="s">
        <v>520</v>
      </c>
      <c r="I9" s="81" t="s">
        <v>520</v>
      </c>
      <c r="L9" s="82" t="s">
        <v>520</v>
      </c>
      <c r="N9" s="90" t="s">
        <v>522</v>
      </c>
      <c r="O9" s="81" t="n">
        <v>3</v>
      </c>
      <c r="P9" s="81" t="n">
        <v>1</v>
      </c>
      <c r="R9" s="81" t="s">
        <v>389</v>
      </c>
      <c r="S9" s="90" t="n">
        <v>45582.7892216551</v>
      </c>
      <c r="T9" s="52" t="s">
        <v>617</v>
      </c>
    </row>
    <row r="10" customFormat="false" ht="124.5" hidden="false" customHeight="true" outlineLevel="0" collapsed="false">
      <c r="B10" s="82" t="s">
        <v>618</v>
      </c>
      <c r="C10" s="81" t="s">
        <v>520</v>
      </c>
      <c r="F10" s="81" t="s">
        <v>520</v>
      </c>
      <c r="K10" s="81" t="n">
        <v>3</v>
      </c>
      <c r="N10" s="90" t="s">
        <v>526</v>
      </c>
      <c r="O10" s="81" t="n">
        <v>4</v>
      </c>
      <c r="P10" s="81" t="n">
        <v>1</v>
      </c>
      <c r="R10" s="81" t="s">
        <v>389</v>
      </c>
      <c r="S10" s="90" t="n">
        <v>45582.7899547685</v>
      </c>
      <c r="T10" s="50" t="s">
        <v>119</v>
      </c>
    </row>
    <row r="11" customFormat="false" ht="88.6" hidden="false" customHeight="false" outlineLevel="0" collapsed="false">
      <c r="C11" s="81" t="s">
        <v>520</v>
      </c>
      <c r="D11" s="81" t="s">
        <v>520</v>
      </c>
      <c r="I11" s="81" t="s">
        <v>530</v>
      </c>
      <c r="J11" s="82" t="s">
        <v>532</v>
      </c>
      <c r="L11" s="82" t="s">
        <v>530</v>
      </c>
      <c r="M11" s="82" t="s">
        <v>619</v>
      </c>
      <c r="N11" s="90" t="s">
        <v>522</v>
      </c>
      <c r="O11" s="81" t="n">
        <v>5</v>
      </c>
      <c r="P11" s="81" t="n">
        <v>1</v>
      </c>
      <c r="Q11" s="81" t="s">
        <v>399</v>
      </c>
      <c r="R11" s="81" t="s">
        <v>534</v>
      </c>
      <c r="S11" s="90" t="n">
        <v>45582.7899547685</v>
      </c>
      <c r="T11" s="52" t="s">
        <v>620</v>
      </c>
    </row>
    <row r="12" customFormat="false" ht="15" hidden="false" customHeight="false" outlineLevel="0" collapsed="false">
      <c r="B12" s="82" t="s">
        <v>525</v>
      </c>
      <c r="K12" s="81" t="n">
        <v>3</v>
      </c>
      <c r="N12" s="90" t="s">
        <v>526</v>
      </c>
      <c r="O12" s="81" t="n">
        <v>6</v>
      </c>
      <c r="P12" s="81" t="n">
        <v>1</v>
      </c>
      <c r="Q12" s="81" t="s">
        <v>399</v>
      </c>
      <c r="R12" s="81" t="s">
        <v>534</v>
      </c>
      <c r="S12" s="90" t="n">
        <v>45582.7905330324</v>
      </c>
      <c r="T12" s="52" t="n">
        <v>3</v>
      </c>
    </row>
    <row r="13" customFormat="false" ht="63.6" hidden="false" customHeight="false" outlineLevel="0" collapsed="false">
      <c r="F13" s="81" t="s">
        <v>520</v>
      </c>
      <c r="I13" s="81" t="s">
        <v>520</v>
      </c>
      <c r="L13" s="82" t="s">
        <v>520</v>
      </c>
      <c r="N13" s="90" t="s">
        <v>522</v>
      </c>
      <c r="O13" s="81" t="n">
        <v>7</v>
      </c>
      <c r="P13" s="81" t="n">
        <v>1</v>
      </c>
      <c r="Q13" s="81" t="s">
        <v>408</v>
      </c>
      <c r="R13" s="81" t="s">
        <v>534</v>
      </c>
      <c r="S13" s="90" t="n">
        <v>45582.7905330324</v>
      </c>
      <c r="T13" s="52" t="s">
        <v>621</v>
      </c>
    </row>
    <row r="14" customFormat="false" ht="15" hidden="false" customHeight="false" outlineLevel="0" collapsed="false">
      <c r="B14" s="82" t="s">
        <v>525</v>
      </c>
      <c r="K14" s="81" t="n">
        <v>3</v>
      </c>
      <c r="N14" s="90" t="s">
        <v>526</v>
      </c>
      <c r="O14" s="81" t="n">
        <v>8</v>
      </c>
      <c r="P14" s="81" t="n">
        <v>1</v>
      </c>
      <c r="Q14" s="81" t="s">
        <v>408</v>
      </c>
      <c r="R14" s="81" t="s">
        <v>534</v>
      </c>
      <c r="S14" s="90" t="n">
        <v>45582.7907335417</v>
      </c>
      <c r="T14" s="52" t="n">
        <v>2</v>
      </c>
    </row>
    <row r="15" customFormat="false" ht="126.1" hidden="false" customHeight="false" outlineLevel="0" collapsed="false">
      <c r="D15" s="81" t="s">
        <v>520</v>
      </c>
      <c r="I15" s="81" t="s">
        <v>520</v>
      </c>
      <c r="L15" s="82" t="s">
        <v>520</v>
      </c>
      <c r="N15" s="90" t="s">
        <v>522</v>
      </c>
      <c r="O15" s="81" t="n">
        <v>9</v>
      </c>
      <c r="P15" s="81" t="n">
        <v>4</v>
      </c>
      <c r="Q15" s="81" t="s">
        <v>408</v>
      </c>
      <c r="R15" s="81" t="s">
        <v>389</v>
      </c>
      <c r="S15" s="90" t="n">
        <v>45582.7907335417</v>
      </c>
      <c r="T15" s="52" t="s">
        <v>622</v>
      </c>
    </row>
    <row r="16" customFormat="false" ht="15" hidden="false" customHeight="false" outlineLevel="0" collapsed="false">
      <c r="B16" s="82" t="s">
        <v>623</v>
      </c>
      <c r="C16" s="81" t="s">
        <v>530</v>
      </c>
      <c r="F16" s="81" t="s">
        <v>520</v>
      </c>
      <c r="K16" s="81" t="n">
        <v>3</v>
      </c>
      <c r="N16" s="90" t="s">
        <v>526</v>
      </c>
      <c r="O16" s="81" t="n">
        <v>10</v>
      </c>
      <c r="P16" s="81" t="n">
        <v>4</v>
      </c>
      <c r="Q16" s="81" t="s">
        <v>408</v>
      </c>
      <c r="R16" s="81" t="s">
        <v>389</v>
      </c>
      <c r="S16" s="90" t="n">
        <v>45582.7911098032</v>
      </c>
      <c r="T16" s="52" t="s">
        <v>120</v>
      </c>
    </row>
    <row r="17" customFormat="false" ht="26.1" hidden="false" customHeight="false" outlineLevel="0" collapsed="false">
      <c r="C17" s="81" t="s">
        <v>520</v>
      </c>
      <c r="D17" s="81" t="s">
        <v>520</v>
      </c>
      <c r="I17" s="81" t="s">
        <v>530</v>
      </c>
      <c r="J17" s="82" t="s">
        <v>624</v>
      </c>
      <c r="L17" s="82" t="s">
        <v>520</v>
      </c>
      <c r="N17" s="90" t="s">
        <v>522</v>
      </c>
      <c r="O17" s="81" t="n">
        <v>11</v>
      </c>
      <c r="P17" s="81" t="n">
        <v>4</v>
      </c>
      <c r="Q17" s="81" t="s">
        <v>408</v>
      </c>
      <c r="R17" s="81" t="s">
        <v>389</v>
      </c>
      <c r="S17" s="90" t="n">
        <v>45582.7911098032</v>
      </c>
      <c r="T17" s="52" t="s">
        <v>625</v>
      </c>
    </row>
    <row r="18" customFormat="false" ht="15" hidden="false" customHeight="false" outlineLevel="0" collapsed="false">
      <c r="F18" s="81" t="s">
        <v>520</v>
      </c>
      <c r="K18" s="81" t="n">
        <v>3</v>
      </c>
      <c r="N18" s="90" t="s">
        <v>526</v>
      </c>
      <c r="O18" s="81" t="n">
        <v>12</v>
      </c>
      <c r="P18" s="81" t="n">
        <v>4</v>
      </c>
      <c r="Q18" s="81" t="s">
        <v>408</v>
      </c>
      <c r="R18" s="81" t="s">
        <v>389</v>
      </c>
      <c r="S18" s="90" t="n">
        <v>45582.7916442014</v>
      </c>
      <c r="T18" s="52" t="s">
        <v>121</v>
      </c>
    </row>
    <row r="19" customFormat="false" ht="63.6" hidden="false" customHeight="false" outlineLevel="0" collapsed="false">
      <c r="D19" s="81" t="s">
        <v>520</v>
      </c>
      <c r="I19" s="81" t="s">
        <v>520</v>
      </c>
      <c r="L19" s="82" t="s">
        <v>520</v>
      </c>
      <c r="N19" s="90" t="s">
        <v>522</v>
      </c>
      <c r="O19" s="81" t="n">
        <v>13</v>
      </c>
      <c r="P19" s="81" t="n">
        <v>4</v>
      </c>
      <c r="Q19" s="81" t="s">
        <v>404</v>
      </c>
      <c r="R19" s="81" t="s">
        <v>534</v>
      </c>
      <c r="S19" s="90" t="n">
        <v>45582.7916442014</v>
      </c>
      <c r="T19" s="52" t="s">
        <v>626</v>
      </c>
    </row>
    <row r="20" customFormat="false" ht="15" hidden="false" customHeight="false" outlineLevel="0" collapsed="false">
      <c r="B20" s="82" t="s">
        <v>525</v>
      </c>
      <c r="F20" s="81" t="s">
        <v>520</v>
      </c>
      <c r="K20" s="81" t="n">
        <v>3</v>
      </c>
      <c r="N20" s="90" t="s">
        <v>526</v>
      </c>
      <c r="O20" s="81" t="n">
        <v>14</v>
      </c>
      <c r="P20" s="81" t="n">
        <v>4</v>
      </c>
      <c r="Q20" s="81" t="s">
        <v>404</v>
      </c>
      <c r="R20" s="81" t="s">
        <v>534</v>
      </c>
      <c r="S20" s="90" t="n">
        <v>45582.7922037732</v>
      </c>
      <c r="T20" s="52" t="n">
        <v>2</v>
      </c>
    </row>
    <row r="21" customFormat="false" ht="126.1" hidden="false" customHeight="false" outlineLevel="0" collapsed="false">
      <c r="D21" s="81" t="s">
        <v>520</v>
      </c>
      <c r="I21" s="81" t="s">
        <v>530</v>
      </c>
      <c r="J21" s="106" t="s">
        <v>532</v>
      </c>
      <c r="L21" s="82" t="s">
        <v>530</v>
      </c>
      <c r="M21" s="82" t="s">
        <v>627</v>
      </c>
      <c r="N21" s="90" t="s">
        <v>522</v>
      </c>
      <c r="O21" s="81" t="n">
        <v>15</v>
      </c>
      <c r="P21" s="81" t="n">
        <v>5</v>
      </c>
      <c r="Q21" s="81" t="s">
        <v>404</v>
      </c>
      <c r="R21" s="81" t="s">
        <v>389</v>
      </c>
      <c r="S21" s="90" t="n">
        <v>45582.7922037732</v>
      </c>
      <c r="T21" s="52" t="s">
        <v>628</v>
      </c>
    </row>
    <row r="22" customFormat="false" ht="26.1" hidden="false" customHeight="false" outlineLevel="0" collapsed="false">
      <c r="B22" s="82" t="s">
        <v>629</v>
      </c>
      <c r="C22" s="81" t="s">
        <v>520</v>
      </c>
      <c r="F22" s="81" t="s">
        <v>520</v>
      </c>
      <c r="K22" s="81" t="n">
        <v>3</v>
      </c>
      <c r="N22" s="90" t="s">
        <v>526</v>
      </c>
      <c r="O22" s="81" t="n">
        <v>16</v>
      </c>
      <c r="P22" s="81" t="n">
        <v>5</v>
      </c>
      <c r="Q22" s="81" t="s">
        <v>404</v>
      </c>
      <c r="R22" s="81" t="s">
        <v>389</v>
      </c>
      <c r="S22" s="90" t="n">
        <v>45582.7930324769</v>
      </c>
      <c r="T22" s="52" t="s">
        <v>122</v>
      </c>
    </row>
    <row r="23" customFormat="false" ht="63.6" hidden="false" customHeight="false" outlineLevel="0" collapsed="false">
      <c r="C23" s="81" t="s">
        <v>520</v>
      </c>
      <c r="D23" s="81" t="s">
        <v>520</v>
      </c>
      <c r="I23" s="81" t="s">
        <v>520</v>
      </c>
      <c r="L23" s="82" t="s">
        <v>520</v>
      </c>
      <c r="N23" s="90" t="s">
        <v>522</v>
      </c>
      <c r="O23" s="81" t="n">
        <v>17</v>
      </c>
      <c r="P23" s="81" t="n">
        <v>5</v>
      </c>
      <c r="Q23" s="81" t="s">
        <v>396</v>
      </c>
      <c r="R23" s="81" t="s">
        <v>534</v>
      </c>
      <c r="S23" s="90" t="n">
        <v>45582.7930324769</v>
      </c>
      <c r="T23" s="52" t="s">
        <v>630</v>
      </c>
    </row>
    <row r="24" customFormat="false" ht="15" hidden="false" customHeight="false" outlineLevel="0" collapsed="false">
      <c r="B24" s="82" t="s">
        <v>525</v>
      </c>
      <c r="C24" s="81" t="s">
        <v>530</v>
      </c>
      <c r="F24" s="81" t="s">
        <v>520</v>
      </c>
      <c r="K24" s="81" t="n">
        <v>3</v>
      </c>
      <c r="N24" s="90" t="s">
        <v>526</v>
      </c>
      <c r="O24" s="81" t="n">
        <v>18</v>
      </c>
      <c r="P24" s="81" t="n">
        <v>5</v>
      </c>
      <c r="Q24" s="81" t="s">
        <v>396</v>
      </c>
      <c r="R24" s="81" t="s">
        <v>534</v>
      </c>
      <c r="S24" s="90" t="n">
        <v>45582.7944146528</v>
      </c>
      <c r="T24" s="52" t="n">
        <v>4</v>
      </c>
    </row>
    <row r="25" customFormat="false" ht="76.1" hidden="false" customHeight="false" outlineLevel="0" collapsed="false">
      <c r="B25" s="82" t="s">
        <v>525</v>
      </c>
      <c r="D25" s="81" t="s">
        <v>520</v>
      </c>
      <c r="I25" s="81" t="s">
        <v>520</v>
      </c>
      <c r="L25" s="82" t="s">
        <v>520</v>
      </c>
      <c r="N25" s="90" t="s">
        <v>522</v>
      </c>
      <c r="O25" s="81" t="n">
        <v>19</v>
      </c>
      <c r="P25" s="81" t="n">
        <v>5</v>
      </c>
      <c r="Q25" s="81" t="s">
        <v>394</v>
      </c>
      <c r="R25" s="81" t="s">
        <v>534</v>
      </c>
      <c r="S25" s="90" t="n">
        <v>45582.7944146528</v>
      </c>
      <c r="T25" s="52" t="s">
        <v>631</v>
      </c>
    </row>
    <row r="26" customFormat="false" ht="15" hidden="false" customHeight="false" outlineLevel="0" collapsed="false">
      <c r="B26" s="82" t="s">
        <v>525</v>
      </c>
      <c r="F26" s="81" t="s">
        <v>520</v>
      </c>
      <c r="K26" s="81" t="n">
        <v>3</v>
      </c>
      <c r="N26" s="90" t="s">
        <v>526</v>
      </c>
      <c r="O26" s="81" t="n">
        <v>20</v>
      </c>
      <c r="P26" s="81" t="n">
        <v>5</v>
      </c>
      <c r="Q26" s="81" t="s">
        <v>394</v>
      </c>
      <c r="R26" s="81" t="s">
        <v>534</v>
      </c>
      <c r="S26" s="90" t="n">
        <v>45582.7954973958</v>
      </c>
      <c r="T26" s="52" t="n">
        <v>4</v>
      </c>
    </row>
    <row r="27" customFormat="false" ht="63.6" hidden="false" customHeight="false" outlineLevel="0" collapsed="false">
      <c r="B27" s="82" t="s">
        <v>525</v>
      </c>
      <c r="D27" s="81" t="s">
        <v>520</v>
      </c>
      <c r="I27" s="81" t="s">
        <v>520</v>
      </c>
      <c r="L27" s="82" t="s">
        <v>530</v>
      </c>
      <c r="M27" s="82" t="s">
        <v>619</v>
      </c>
      <c r="N27" s="90" t="s">
        <v>522</v>
      </c>
      <c r="O27" s="81" t="n">
        <v>21</v>
      </c>
      <c r="P27" s="81" t="n">
        <v>5</v>
      </c>
      <c r="Q27" s="81" t="s">
        <v>404</v>
      </c>
      <c r="R27" s="81" t="s">
        <v>534</v>
      </c>
      <c r="S27" s="90" t="n">
        <v>45582.7954973958</v>
      </c>
      <c r="T27" s="52" t="s">
        <v>632</v>
      </c>
    </row>
    <row r="28" customFormat="false" ht="15" hidden="false" customHeight="false" outlineLevel="0" collapsed="false">
      <c r="B28" s="82" t="s">
        <v>525</v>
      </c>
      <c r="F28" s="81" t="s">
        <v>520</v>
      </c>
      <c r="K28" s="81" t="n">
        <v>3</v>
      </c>
      <c r="N28" s="90" t="s">
        <v>526</v>
      </c>
      <c r="O28" s="81" t="n">
        <v>22</v>
      </c>
      <c r="P28" s="81" t="n">
        <v>5</v>
      </c>
      <c r="Q28" s="81" t="s">
        <v>404</v>
      </c>
      <c r="R28" s="81" t="s">
        <v>534</v>
      </c>
      <c r="S28" s="90" t="n">
        <v>45582.7965344676</v>
      </c>
      <c r="T28" s="52" t="n">
        <v>4</v>
      </c>
    </row>
    <row r="29" customFormat="false" ht="126.1" hidden="false" customHeight="false" outlineLevel="0" collapsed="false">
      <c r="D29" s="81" t="s">
        <v>520</v>
      </c>
      <c r="I29" s="81" t="s">
        <v>520</v>
      </c>
      <c r="L29" s="82" t="s">
        <v>520</v>
      </c>
      <c r="N29" s="90" t="s">
        <v>522</v>
      </c>
      <c r="O29" s="81" t="n">
        <v>23</v>
      </c>
      <c r="P29" s="81" t="n">
        <v>2</v>
      </c>
      <c r="Q29" s="81" t="s">
        <v>404</v>
      </c>
      <c r="R29" s="81" t="s">
        <v>389</v>
      </c>
      <c r="S29" s="90" t="n">
        <v>45582.7965344676</v>
      </c>
      <c r="T29" s="52" t="s">
        <v>633</v>
      </c>
    </row>
    <row r="30" customFormat="false" ht="15" hidden="false" customHeight="false" outlineLevel="0" collapsed="false">
      <c r="B30" s="82" t="s">
        <v>408</v>
      </c>
      <c r="C30" s="81" t="s">
        <v>530</v>
      </c>
      <c r="F30" s="81" t="s">
        <v>520</v>
      </c>
      <c r="K30" s="81" t="n">
        <v>3</v>
      </c>
      <c r="N30" s="90" t="s">
        <v>526</v>
      </c>
      <c r="O30" s="81" t="n">
        <v>24</v>
      </c>
      <c r="P30" s="81" t="n">
        <v>2</v>
      </c>
      <c r="Q30" s="81" t="s">
        <v>404</v>
      </c>
      <c r="R30" s="81" t="s">
        <v>389</v>
      </c>
      <c r="S30" s="90" t="n">
        <v>45582.7975100579</v>
      </c>
      <c r="T30" s="52" t="s">
        <v>123</v>
      </c>
    </row>
    <row r="31" customFormat="false" ht="151.1" hidden="false" customHeight="false" outlineLevel="0" collapsed="false">
      <c r="D31" s="81" t="s">
        <v>520</v>
      </c>
      <c r="I31" s="81" t="s">
        <v>520</v>
      </c>
      <c r="L31" s="82" t="s">
        <v>520</v>
      </c>
      <c r="N31" s="90" t="s">
        <v>522</v>
      </c>
      <c r="O31" s="81" t="n">
        <v>25</v>
      </c>
      <c r="P31" s="81" t="n">
        <v>2</v>
      </c>
      <c r="Q31" s="81" t="s">
        <v>396</v>
      </c>
      <c r="R31" s="81" t="s">
        <v>534</v>
      </c>
      <c r="S31" s="90" t="n">
        <v>45582.7975100579</v>
      </c>
      <c r="T31" s="52" t="s">
        <v>634</v>
      </c>
    </row>
    <row r="32" customFormat="false" ht="15" hidden="false" customHeight="false" outlineLevel="0" collapsed="false">
      <c r="B32" s="82" t="s">
        <v>525</v>
      </c>
      <c r="F32" s="81" t="s">
        <v>520</v>
      </c>
      <c r="K32" s="81" t="n">
        <v>3</v>
      </c>
      <c r="N32" s="90" t="s">
        <v>526</v>
      </c>
      <c r="O32" s="81" t="n">
        <v>26</v>
      </c>
      <c r="P32" s="81" t="n">
        <v>2</v>
      </c>
      <c r="Q32" s="81" t="s">
        <v>396</v>
      </c>
      <c r="R32" s="81" t="s">
        <v>534</v>
      </c>
      <c r="S32" s="90" t="n">
        <v>45582.7995005671</v>
      </c>
      <c r="T32" s="52" t="n">
        <v>4</v>
      </c>
    </row>
    <row r="33" customFormat="false" ht="15" hidden="false" customHeight="false" outlineLevel="0" collapsed="false">
      <c r="B33" s="82" t="s">
        <v>525</v>
      </c>
      <c r="D33" s="81" t="s">
        <v>530</v>
      </c>
      <c r="I33" s="81" t="s">
        <v>520</v>
      </c>
      <c r="L33" s="82" t="s">
        <v>520</v>
      </c>
      <c r="N33" s="90" t="s">
        <v>522</v>
      </c>
      <c r="O33" s="81" t="n">
        <v>27</v>
      </c>
      <c r="P33" s="81" t="n">
        <v>2</v>
      </c>
      <c r="Q33" s="81" t="s">
        <v>396</v>
      </c>
      <c r="R33" s="81" t="s">
        <v>534</v>
      </c>
      <c r="S33" s="90" t="n">
        <v>45582.7995005671</v>
      </c>
      <c r="T33" s="52" t="s">
        <v>635</v>
      </c>
    </row>
    <row r="34" customFormat="false" ht="15" hidden="false" customHeight="false" outlineLevel="0" collapsed="false">
      <c r="B34" s="82" t="s">
        <v>525</v>
      </c>
      <c r="F34" s="81" t="s">
        <v>530</v>
      </c>
      <c r="G34" s="81" t="s">
        <v>520</v>
      </c>
      <c r="K34" s="81" t="n">
        <v>3</v>
      </c>
      <c r="N34" s="90" t="s">
        <v>526</v>
      </c>
      <c r="O34" s="81" t="n">
        <v>28</v>
      </c>
      <c r="P34" s="81" t="n">
        <v>2</v>
      </c>
      <c r="Q34" s="81" t="s">
        <v>396</v>
      </c>
      <c r="R34" s="81" t="s">
        <v>534</v>
      </c>
      <c r="S34" s="90" t="n">
        <v>45582.7998306713</v>
      </c>
      <c r="T34" s="52" t="s">
        <v>124</v>
      </c>
    </row>
    <row r="35" customFormat="false" ht="63.6" hidden="false" customHeight="false" outlineLevel="0" collapsed="false">
      <c r="D35" s="81" t="s">
        <v>520</v>
      </c>
      <c r="I35" s="81" t="s">
        <v>520</v>
      </c>
      <c r="L35" s="82" t="s">
        <v>520</v>
      </c>
      <c r="N35" s="90" t="s">
        <v>522</v>
      </c>
      <c r="O35" s="81" t="n">
        <v>29</v>
      </c>
      <c r="P35" s="81" t="n">
        <v>6</v>
      </c>
      <c r="Q35" s="81" t="s">
        <v>396</v>
      </c>
      <c r="R35" s="81" t="s">
        <v>389</v>
      </c>
      <c r="S35" s="90" t="n">
        <v>45582.7998306713</v>
      </c>
      <c r="T35" s="52" t="s">
        <v>636</v>
      </c>
    </row>
    <row r="36" customFormat="false" ht="15" hidden="false" customHeight="false" outlineLevel="0" collapsed="false">
      <c r="B36" s="82" t="s">
        <v>409</v>
      </c>
      <c r="C36" s="81" t="s">
        <v>520</v>
      </c>
      <c r="F36" s="81" t="s">
        <v>520</v>
      </c>
      <c r="K36" s="81" t="n">
        <v>3</v>
      </c>
      <c r="N36" s="90" t="s">
        <v>526</v>
      </c>
      <c r="O36" s="81" t="n">
        <v>30</v>
      </c>
      <c r="P36" s="81" t="n">
        <v>6</v>
      </c>
      <c r="Q36" s="81" t="s">
        <v>396</v>
      </c>
      <c r="R36" s="81" t="s">
        <v>389</v>
      </c>
      <c r="S36" s="90" t="n">
        <v>45582.8001782986</v>
      </c>
      <c r="T36" s="52" t="s">
        <v>125</v>
      </c>
    </row>
    <row r="37" customFormat="false" ht="38.6" hidden="false" customHeight="false" outlineLevel="0" collapsed="false">
      <c r="D37" s="81" t="s">
        <v>520</v>
      </c>
      <c r="I37" s="81" t="s">
        <v>520</v>
      </c>
      <c r="L37" s="82" t="s">
        <v>520</v>
      </c>
      <c r="N37" s="90" t="s">
        <v>522</v>
      </c>
      <c r="O37" s="81" t="n">
        <v>31</v>
      </c>
      <c r="P37" s="81" t="n">
        <v>6</v>
      </c>
      <c r="Q37" s="81" t="s">
        <v>409</v>
      </c>
      <c r="R37" s="81" t="s">
        <v>534</v>
      </c>
      <c r="S37" s="90" t="n">
        <v>45582.8001782986</v>
      </c>
      <c r="T37" s="52" t="s">
        <v>637</v>
      </c>
    </row>
    <row r="38" customFormat="false" ht="15" hidden="false" customHeight="false" outlineLevel="0" collapsed="false">
      <c r="B38" s="82" t="s">
        <v>525</v>
      </c>
      <c r="F38" s="81" t="s">
        <v>520</v>
      </c>
      <c r="K38" s="81" t="n">
        <v>3</v>
      </c>
      <c r="N38" s="90" t="s">
        <v>526</v>
      </c>
      <c r="O38" s="81" t="n">
        <v>32</v>
      </c>
      <c r="P38" s="81" t="n">
        <v>6</v>
      </c>
      <c r="Q38" s="81" t="s">
        <v>409</v>
      </c>
      <c r="R38" s="81" t="s">
        <v>534</v>
      </c>
      <c r="S38" s="90" t="n">
        <v>45582.8014671065</v>
      </c>
      <c r="T38" s="52" t="n">
        <v>2</v>
      </c>
    </row>
    <row r="39" customFormat="false" ht="26.1" hidden="false" customHeight="false" outlineLevel="0" collapsed="false">
      <c r="B39" s="82" t="s">
        <v>525</v>
      </c>
      <c r="D39" s="81" t="s">
        <v>530</v>
      </c>
      <c r="I39" s="81" t="s">
        <v>520</v>
      </c>
      <c r="L39" s="82" t="s">
        <v>520</v>
      </c>
      <c r="N39" s="90" t="s">
        <v>522</v>
      </c>
      <c r="O39" s="81" t="n">
        <v>33</v>
      </c>
      <c r="P39" s="81" t="n">
        <v>6</v>
      </c>
      <c r="Q39" s="81" t="s">
        <v>409</v>
      </c>
      <c r="R39" s="81" t="s">
        <v>534</v>
      </c>
      <c r="S39" s="90" t="n">
        <v>45582.8014671065</v>
      </c>
      <c r="T39" s="52" t="s">
        <v>638</v>
      </c>
    </row>
    <row r="40" customFormat="false" ht="15" hidden="false" customHeight="false" outlineLevel="0" collapsed="false">
      <c r="B40" s="82" t="s">
        <v>525</v>
      </c>
      <c r="F40" s="81" t="s">
        <v>530</v>
      </c>
      <c r="G40" s="81" t="s">
        <v>520</v>
      </c>
      <c r="K40" s="81" t="n">
        <v>3</v>
      </c>
      <c r="N40" s="90" t="s">
        <v>526</v>
      </c>
      <c r="O40" s="81" t="n">
        <v>34</v>
      </c>
      <c r="P40" s="81" t="n">
        <v>6</v>
      </c>
      <c r="Q40" s="81" t="s">
        <v>409</v>
      </c>
      <c r="R40" s="81" t="s">
        <v>534</v>
      </c>
      <c r="S40" s="90" t="n">
        <v>45582.8029665046</v>
      </c>
      <c r="T40" s="52" t="s">
        <v>126</v>
      </c>
    </row>
    <row r="41" customFormat="false" ht="101.1" hidden="false" customHeight="false" outlineLevel="0" collapsed="false">
      <c r="D41" s="81" t="s">
        <v>520</v>
      </c>
      <c r="I41" s="81" t="s">
        <v>520</v>
      </c>
      <c r="L41" s="82" t="s">
        <v>520</v>
      </c>
      <c r="N41" s="90" t="s">
        <v>522</v>
      </c>
      <c r="O41" s="81" t="n">
        <v>35</v>
      </c>
      <c r="P41" s="81" t="n">
        <v>3</v>
      </c>
      <c r="Q41" s="81" t="s">
        <v>409</v>
      </c>
      <c r="R41" s="81" t="s">
        <v>389</v>
      </c>
      <c r="S41" s="90" t="n">
        <v>45582.8029665046</v>
      </c>
      <c r="T41" s="52" t="s">
        <v>639</v>
      </c>
    </row>
    <row r="42" customFormat="false" ht="15" hidden="false" customHeight="false" outlineLevel="0" collapsed="false">
      <c r="B42" s="82" t="s">
        <v>640</v>
      </c>
      <c r="C42" s="81" t="s">
        <v>520</v>
      </c>
      <c r="F42" s="81" t="s">
        <v>520</v>
      </c>
      <c r="K42" s="81" t="n">
        <v>3</v>
      </c>
      <c r="N42" s="90" t="s">
        <v>526</v>
      </c>
      <c r="O42" s="81" t="n">
        <v>36</v>
      </c>
      <c r="P42" s="81" t="n">
        <v>3</v>
      </c>
      <c r="Q42" s="81" t="s">
        <v>409</v>
      </c>
      <c r="R42" s="81" t="s">
        <v>389</v>
      </c>
      <c r="S42" s="90" t="n">
        <v>45582.8035341204</v>
      </c>
      <c r="T42" s="52" t="s">
        <v>127</v>
      </c>
    </row>
    <row r="43" customFormat="false" ht="51.1" hidden="false" customHeight="false" outlineLevel="0" collapsed="false">
      <c r="C43" s="81" t="s">
        <v>530</v>
      </c>
      <c r="D43" s="81" t="s">
        <v>520</v>
      </c>
      <c r="I43" s="81" t="s">
        <v>520</v>
      </c>
      <c r="L43" s="82" t="s">
        <v>520</v>
      </c>
      <c r="N43" s="90" t="s">
        <v>522</v>
      </c>
      <c r="O43" s="81" t="n">
        <v>37</v>
      </c>
      <c r="P43" s="81" t="n">
        <v>3</v>
      </c>
      <c r="Q43" s="81" t="s">
        <v>398</v>
      </c>
      <c r="R43" s="81" t="s">
        <v>534</v>
      </c>
      <c r="S43" s="90" t="n">
        <v>45582.8035341204</v>
      </c>
      <c r="T43" s="52" t="s">
        <v>641</v>
      </c>
    </row>
    <row r="44" customFormat="false" ht="15" hidden="false" customHeight="false" outlineLevel="0" collapsed="false">
      <c r="F44" s="81" t="s">
        <v>520</v>
      </c>
      <c r="K44" s="81" t="n">
        <v>3</v>
      </c>
      <c r="N44" s="90" t="s">
        <v>526</v>
      </c>
      <c r="O44" s="81" t="n">
        <v>38</v>
      </c>
      <c r="P44" s="81" t="n">
        <v>3</v>
      </c>
      <c r="Q44" s="81" t="s">
        <v>398</v>
      </c>
      <c r="R44" s="81" t="s">
        <v>534</v>
      </c>
      <c r="S44" s="90" t="n">
        <v>45582.8039376505</v>
      </c>
      <c r="T44" s="52" t="n">
        <v>3</v>
      </c>
    </row>
    <row r="45" customFormat="false" ht="226.1" hidden="false" customHeight="false" outlineLevel="0" collapsed="false">
      <c r="D45" s="81" t="s">
        <v>520</v>
      </c>
      <c r="I45" s="81" t="s">
        <v>520</v>
      </c>
      <c r="L45" s="82" t="s">
        <v>520</v>
      </c>
      <c r="N45" s="90" t="s">
        <v>522</v>
      </c>
      <c r="O45" s="81" t="n">
        <v>39</v>
      </c>
      <c r="Q45" s="81" t="s">
        <v>398</v>
      </c>
      <c r="R45" s="81" t="s">
        <v>585</v>
      </c>
      <c r="S45" s="90" t="n">
        <v>45582.8039376505</v>
      </c>
      <c r="T45" s="52" t="s">
        <v>642</v>
      </c>
    </row>
    <row r="46" customFormat="false" ht="15" hidden="false" customHeight="false" outlineLevel="0" collapsed="false">
      <c r="F46" s="81" t="s">
        <v>520</v>
      </c>
      <c r="K46" s="81" t="n">
        <v>4</v>
      </c>
      <c r="N46" s="90" t="s">
        <v>526</v>
      </c>
      <c r="O46" s="81" t="n">
        <v>40</v>
      </c>
      <c r="P46" s="81" t="n">
        <v>3</v>
      </c>
      <c r="Q46" s="81" t="s">
        <v>398</v>
      </c>
      <c r="R46" s="81" t="s">
        <v>585</v>
      </c>
      <c r="S46" s="90" t="n">
        <v>45582.812531088</v>
      </c>
      <c r="T46" s="52" t="s">
        <v>128</v>
      </c>
    </row>
    <row r="47" customFormat="false" ht="26.1" hidden="false" customHeight="false" outlineLevel="0" collapsed="false">
      <c r="D47" s="81" t="s">
        <v>520</v>
      </c>
      <c r="I47" s="81" t="s">
        <v>520</v>
      </c>
      <c r="L47" s="82" t="s">
        <v>520</v>
      </c>
      <c r="N47" s="90" t="s">
        <v>522</v>
      </c>
      <c r="O47" s="81" t="n">
        <v>41</v>
      </c>
      <c r="R47" s="81" t="s">
        <v>585</v>
      </c>
      <c r="S47" s="90" t="n">
        <v>45582.8125347222</v>
      </c>
      <c r="T47" s="52" t="s">
        <v>643</v>
      </c>
    </row>
    <row r="48" customFormat="false" ht="15" hidden="false" customHeight="false" outlineLevel="0" collapsed="false">
      <c r="N48" s="90"/>
      <c r="S48" s="90"/>
    </row>
    <row r="49" customFormat="false" ht="15" hidden="false" customHeight="false" outlineLevel="0" collapsed="false">
      <c r="N49" s="90"/>
      <c r="S49" s="90"/>
    </row>
    <row r="50" customFormat="false" ht="15" hidden="false" customHeight="false" outlineLevel="0" collapsed="false">
      <c r="N50" s="90"/>
      <c r="S50" s="90"/>
    </row>
    <row r="51" customFormat="false" ht="15" hidden="false" customHeight="false" outlineLevel="0" collapsed="false">
      <c r="N51" s="90"/>
      <c r="S51" s="90"/>
    </row>
    <row r="52" customFormat="false" ht="15" hidden="false" customHeight="false" outlineLevel="0" collapsed="false">
      <c r="N52" s="90"/>
      <c r="S52" s="90"/>
    </row>
    <row r="53" customFormat="false" ht="15" hidden="false" customHeight="false" outlineLevel="0" collapsed="false">
      <c r="N53" s="90"/>
      <c r="S53" s="90"/>
    </row>
    <row r="54" customFormat="false" ht="15" hidden="false" customHeight="false" outlineLevel="0" collapsed="false">
      <c r="N54" s="90"/>
      <c r="S54" s="90"/>
    </row>
    <row r="55" customFormat="false" ht="15" hidden="false" customHeight="false" outlineLevel="0" collapsed="false">
      <c r="N55" s="90"/>
      <c r="S55" s="90"/>
    </row>
    <row r="56" customFormat="false" ht="15" hidden="false" customHeight="false" outlineLevel="0" collapsed="false">
      <c r="N56" s="90"/>
      <c r="S56" s="90"/>
    </row>
    <row r="57" customFormat="false" ht="15" hidden="false" customHeight="false" outlineLevel="0" collapsed="false">
      <c r="N57" s="90"/>
      <c r="S57" s="90"/>
    </row>
    <row r="58" customFormat="false" ht="15" hidden="false" customHeight="false" outlineLevel="0" collapsed="false">
      <c r="N58" s="90"/>
      <c r="S58" s="90"/>
    </row>
    <row r="59" customFormat="false" ht="15" hidden="false" customHeight="false" outlineLevel="0" collapsed="false">
      <c r="N59" s="90"/>
      <c r="S59" s="90"/>
    </row>
    <row r="60" customFormat="false" ht="15" hidden="false" customHeight="false" outlineLevel="0" collapsed="false">
      <c r="N60" s="90"/>
      <c r="S60" s="90"/>
    </row>
    <row r="61" customFormat="false" ht="15" hidden="false" customHeight="false" outlineLevel="0" collapsed="false">
      <c r="N61" s="91"/>
      <c r="S61" s="91"/>
    </row>
  </sheetData>
  <conditionalFormatting sqref="N2:S105">
    <cfRule type="expression" priority="2" aboveAverage="0" equalAverage="0" bottom="0" percent="0" rank="0" text="" dxfId="28">
      <formula>$N2="agent"</formula>
    </cfRule>
  </conditionalFormatting>
  <conditionalFormatting sqref="T11:T47">
    <cfRule type="expression" priority="3" aboveAverage="0" equalAverage="0" bottom="0" percent="0" rank="0" text="" dxfId="29">
      <formula>$N11="agent"</formula>
    </cfRule>
  </conditionalFormatting>
  <conditionalFormatting sqref="T7:T9">
    <cfRule type="expression" priority="4" aboveAverage="0" equalAverage="0" bottom="0" percent="0" rank="0" text="" dxfId="30">
      <formula>$N7="agent"</formula>
    </cfRule>
  </conditionalFormatting>
  <conditionalFormatting sqref="S2">
    <cfRule type="expression" priority="5" aboveAverage="0" equalAverage="0" bottom="0" percent="0" rank="0" text="" dxfId="31">
      <formula>$N3="agent"</formula>
    </cfRule>
  </conditionalFormatting>
  <conditionalFormatting sqref="A1:S1 T1:XFD3">
    <cfRule type="expression" priority="6" aboveAverage="0" equalAverage="0" bottom="0" percent="0" rank="0" text="" dxfId="32">
      <formula>$N1="agent"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39" activePane="bottomLeft" state="frozen"/>
      <selection pane="topLeft" activeCell="A1" activeCellId="0" sqref="A1"/>
      <selection pane="bottomLeft" activeCell="R40" activeCellId="0" sqref="R40"/>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3.71"/>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86"/>
    <col collapsed="false" customWidth="true" hidden="false" outlineLevel="0" max="19" min="19" style="81" width="18.14"/>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107" t="s">
        <v>518</v>
      </c>
    </row>
    <row r="2" s="83" customFormat="true" ht="15" hidden="false" customHeight="false" outlineLevel="0" collapsed="false">
      <c r="A2" s="83" t="s">
        <v>519</v>
      </c>
      <c r="B2" s="89"/>
      <c r="C2" s="86" t="n">
        <f aca="false">COUNTIF(C7:C100,"y")/(COUNTIF(C7:C100,"y")+COUNTIF(C7:C100,"n"))</f>
        <v>0.7</v>
      </c>
      <c r="D2" s="86" t="n">
        <f aca="false">COUNTIF(D7:D100,"y")/(COUNTIF(D7:D100,"y")+COUNTIF(D7:D100,"n"))</f>
        <v>0.882352941176471</v>
      </c>
      <c r="E2" s="89"/>
      <c r="F2" s="86" t="n">
        <f aca="false">COUNTIF(F7:F100,"y")/(COUNTIF(F7:F100,"y")+COUNTIF(F7:F100,"n"))</f>
        <v>0.9375</v>
      </c>
      <c r="G2" s="86" t="n">
        <f aca="false">COUNTIF(G7:G100,"y")/(COUNTIF(G7:G100,"y")+COUNTIF(G7:G100,"n"))</f>
        <v>1</v>
      </c>
      <c r="H2" s="89"/>
      <c r="I2" s="86" t="n">
        <f aca="false">COUNTIF(I7:I100,"y")/(COUNTIF(I7:I100,"y")+COUNTIF(I7:I100,"n"))</f>
        <v>0.941176470588235</v>
      </c>
      <c r="J2" s="89"/>
      <c r="K2" s="86" t="n">
        <f aca="false">COUNTIF(K7:K100,"1")</f>
        <v>0</v>
      </c>
      <c r="L2" s="86" t="n">
        <f aca="false">COUNTIF(L7:L100,"y")/(COUNTIF(L7:L100,"y")+COUNTIF(L7:L100,"n"))</f>
        <v>0.875</v>
      </c>
      <c r="M2" s="89"/>
      <c r="O2" s="87" t="n">
        <f aca="false" t="array" ref="O2:O2">LOOKUP(2,1/(O:O&lt;&gt;""),O:O)</f>
        <v>33</v>
      </c>
      <c r="R2" s="83" t="n">
        <f aca="false">COUNTIF(R7:R100,"strategy")/2</f>
        <v>7</v>
      </c>
      <c r="S2" s="88" t="n">
        <f aca="false" t="array" ref="S2:S2">LOOKUP(2,1/(S:S&lt;&gt;""),S:S)-S7</f>
        <v>0.0107534490743981</v>
      </c>
      <c r="T2" s="107"/>
    </row>
    <row r="3" s="83" customFormat="true" ht="15" hidden="false" customHeight="false" outlineLevel="0" collapsed="false">
      <c r="B3" s="89"/>
      <c r="C3" s="89"/>
      <c r="D3" s="89"/>
      <c r="E3" s="89"/>
      <c r="F3" s="89"/>
      <c r="G3" s="89"/>
      <c r="H3" s="89"/>
      <c r="I3" s="89"/>
      <c r="J3" s="89"/>
      <c r="K3" s="86" t="n">
        <f aca="false">COUNTIF(K7:K100,"2")</f>
        <v>0</v>
      </c>
      <c r="L3" s="89"/>
      <c r="M3" s="89"/>
      <c r="R3" s="83" t="n">
        <f aca="false">COUNTIF(R7:R100,"frequency")/2</f>
        <v>7</v>
      </c>
      <c r="T3" s="107"/>
    </row>
    <row r="4" s="83" customFormat="true" ht="15" hidden="false" customHeight="false" outlineLevel="0" collapsed="false">
      <c r="B4" s="89"/>
      <c r="C4" s="89"/>
      <c r="D4" s="89"/>
      <c r="E4" s="89"/>
      <c r="F4" s="89"/>
      <c r="G4" s="89"/>
      <c r="H4" s="89"/>
      <c r="I4" s="89"/>
      <c r="J4" s="89"/>
      <c r="K4" s="86" t="n">
        <f aca="false">COUNTIF(K7:K100,"3")</f>
        <v>15</v>
      </c>
      <c r="L4" s="89"/>
      <c r="M4" s="89"/>
      <c r="R4" s="83" t="n">
        <f aca="false">CEILING(COUNTIF(R7:R100,"complete")/2,1)</f>
        <v>2</v>
      </c>
      <c r="T4" s="107"/>
    </row>
    <row r="5" s="83" customFormat="true" ht="15" hidden="false" customHeight="false" outlineLevel="0" collapsed="false">
      <c r="B5" s="89"/>
      <c r="C5" s="89"/>
      <c r="D5" s="89"/>
      <c r="E5" s="89"/>
      <c r="F5" s="89"/>
      <c r="G5" s="89"/>
      <c r="H5" s="89"/>
      <c r="I5" s="89"/>
      <c r="J5" s="89"/>
      <c r="K5" s="86" t="n">
        <f aca="false">COUNTIF(K7:K100,"4")</f>
        <v>1</v>
      </c>
      <c r="L5" s="89"/>
      <c r="M5" s="89"/>
      <c r="T5" s="107"/>
    </row>
    <row r="6" s="92" customFormat="true" ht="15" hidden="false" customHeight="false" outlineLevel="0" collapsed="false">
      <c r="B6" s="93"/>
      <c r="C6" s="93"/>
      <c r="D6" s="93"/>
      <c r="E6" s="93"/>
      <c r="F6" s="93"/>
      <c r="G6" s="93"/>
      <c r="H6" s="93"/>
      <c r="I6" s="93"/>
      <c r="J6" s="93"/>
      <c r="K6" s="94" t="n">
        <f aca="false">COUNTIF(K7:K100,"5")</f>
        <v>0</v>
      </c>
      <c r="L6" s="93"/>
      <c r="M6" s="93"/>
      <c r="T6" s="108"/>
    </row>
    <row r="7" s="96" customFormat="true" ht="51.1" hidden="false" customHeight="false" outlineLevel="0" collapsed="false">
      <c r="B7" s="97" t="s">
        <v>525</v>
      </c>
      <c r="D7" s="96" t="s">
        <v>520</v>
      </c>
      <c r="E7" s="97"/>
      <c r="I7" s="96" t="s">
        <v>520</v>
      </c>
      <c r="J7" s="97"/>
      <c r="L7" s="97" t="s">
        <v>525</v>
      </c>
      <c r="M7" s="97"/>
      <c r="N7" s="90" t="s">
        <v>522</v>
      </c>
      <c r="O7" s="96" t="n">
        <v>1</v>
      </c>
      <c r="R7" s="96" t="s">
        <v>523</v>
      </c>
      <c r="S7" s="98" t="n">
        <v>45587.8221516435</v>
      </c>
      <c r="T7" s="53" t="s">
        <v>644</v>
      </c>
    </row>
    <row r="8" customFormat="false" ht="15" hidden="false" customHeight="false" outlineLevel="0" collapsed="false">
      <c r="B8" s="97" t="s">
        <v>525</v>
      </c>
      <c r="F8" s="81" t="s">
        <v>520</v>
      </c>
      <c r="K8" s="81" t="n">
        <v>3</v>
      </c>
      <c r="N8" s="90" t="s">
        <v>526</v>
      </c>
      <c r="O8" s="81" t="n">
        <v>2</v>
      </c>
      <c r="R8" s="81" t="s">
        <v>523</v>
      </c>
      <c r="S8" s="90" t="n">
        <v>45587.8226911806</v>
      </c>
      <c r="T8" s="53" t="s">
        <v>129</v>
      </c>
    </row>
    <row r="9" customFormat="false" ht="88.6" hidden="false" customHeight="false" outlineLevel="0" collapsed="false">
      <c r="B9" s="97" t="s">
        <v>525</v>
      </c>
      <c r="D9" s="81" t="s">
        <v>520</v>
      </c>
      <c r="I9" s="81" t="s">
        <v>520</v>
      </c>
      <c r="L9" s="82" t="s">
        <v>520</v>
      </c>
      <c r="N9" s="90" t="s">
        <v>522</v>
      </c>
      <c r="O9" s="81" t="n">
        <v>3</v>
      </c>
      <c r="P9" s="81" t="n">
        <v>4</v>
      </c>
      <c r="R9" s="81" t="s">
        <v>389</v>
      </c>
      <c r="S9" s="90" t="n">
        <v>45587.8226911806</v>
      </c>
      <c r="T9" s="53" t="s">
        <v>645</v>
      </c>
    </row>
    <row r="10" customFormat="false" ht="124.5" hidden="false" customHeight="true" outlineLevel="0" collapsed="false">
      <c r="B10" s="82" t="s">
        <v>398</v>
      </c>
      <c r="C10" s="81" t="s">
        <v>520</v>
      </c>
      <c r="F10" s="81" t="s">
        <v>520</v>
      </c>
      <c r="K10" s="81" t="n">
        <v>3</v>
      </c>
      <c r="N10" s="90" t="s">
        <v>526</v>
      </c>
      <c r="O10" s="81" t="n">
        <v>4</v>
      </c>
      <c r="P10" s="81" t="n">
        <v>4</v>
      </c>
      <c r="R10" s="81" t="s">
        <v>389</v>
      </c>
      <c r="S10" s="90" t="n">
        <v>45587.8239493981</v>
      </c>
      <c r="T10" s="53" t="s">
        <v>130</v>
      </c>
    </row>
    <row r="11" customFormat="false" ht="38.6" hidden="false" customHeight="false" outlineLevel="0" collapsed="false">
      <c r="D11" s="81" t="s">
        <v>520</v>
      </c>
      <c r="I11" s="81" t="s">
        <v>520</v>
      </c>
      <c r="L11" s="82" t="s">
        <v>520</v>
      </c>
      <c r="N11" s="90" t="s">
        <v>522</v>
      </c>
      <c r="O11" s="81" t="n">
        <v>5</v>
      </c>
      <c r="P11" s="81" t="n">
        <v>4</v>
      </c>
      <c r="Q11" s="81" t="s">
        <v>398</v>
      </c>
      <c r="R11" s="81" t="s">
        <v>534</v>
      </c>
      <c r="S11" s="90" t="n">
        <v>45587.8239493981</v>
      </c>
      <c r="T11" s="53" t="s">
        <v>646</v>
      </c>
    </row>
    <row r="12" customFormat="false" ht="15" hidden="false" customHeight="false" outlineLevel="0" collapsed="false">
      <c r="F12" s="81" t="s">
        <v>520</v>
      </c>
      <c r="K12" s="81" t="n">
        <v>3</v>
      </c>
      <c r="N12" s="90" t="s">
        <v>526</v>
      </c>
      <c r="O12" s="81" t="n">
        <v>6</v>
      </c>
      <c r="P12" s="81" t="n">
        <v>4</v>
      </c>
      <c r="Q12" s="81" t="s">
        <v>398</v>
      </c>
      <c r="R12" s="81" t="s">
        <v>534</v>
      </c>
      <c r="S12" s="90" t="n">
        <v>45587.8242712269</v>
      </c>
      <c r="T12" s="53" t="n">
        <v>3</v>
      </c>
    </row>
    <row r="13" customFormat="false" ht="88.6" hidden="false" customHeight="false" outlineLevel="0" collapsed="false">
      <c r="D13" s="81" t="s">
        <v>520</v>
      </c>
      <c r="I13" s="81" t="s">
        <v>520</v>
      </c>
      <c r="L13" s="82" t="s">
        <v>520</v>
      </c>
      <c r="N13" s="90" t="s">
        <v>522</v>
      </c>
      <c r="O13" s="81" t="n">
        <v>7</v>
      </c>
      <c r="P13" s="81" t="n">
        <v>6</v>
      </c>
      <c r="Q13" s="81" t="s">
        <v>398</v>
      </c>
      <c r="R13" s="81" t="s">
        <v>389</v>
      </c>
      <c r="S13" s="90" t="n">
        <v>45587.8242712269</v>
      </c>
      <c r="T13" s="53" t="s">
        <v>647</v>
      </c>
    </row>
    <row r="14" customFormat="false" ht="15" hidden="false" customHeight="false" outlineLevel="0" collapsed="false">
      <c r="B14" s="82" t="s">
        <v>409</v>
      </c>
      <c r="C14" s="81" t="s">
        <v>520</v>
      </c>
      <c r="F14" s="81" t="s">
        <v>520</v>
      </c>
      <c r="K14" s="81" t="n">
        <v>3</v>
      </c>
      <c r="N14" s="90" t="s">
        <v>526</v>
      </c>
      <c r="O14" s="81" t="n">
        <v>8</v>
      </c>
      <c r="P14" s="81" t="n">
        <v>6</v>
      </c>
      <c r="Q14" s="81" t="s">
        <v>398</v>
      </c>
      <c r="R14" s="81" t="s">
        <v>389</v>
      </c>
      <c r="S14" s="90" t="n">
        <v>45587.8256623032</v>
      </c>
      <c r="T14" s="53" t="s">
        <v>131</v>
      </c>
    </row>
    <row r="15" customFormat="false" ht="138.6" hidden="false" customHeight="false" outlineLevel="0" collapsed="false">
      <c r="D15" s="81" t="s">
        <v>520</v>
      </c>
      <c r="I15" s="81" t="s">
        <v>520</v>
      </c>
      <c r="L15" s="82" t="s">
        <v>520</v>
      </c>
      <c r="N15" s="90" t="s">
        <v>522</v>
      </c>
      <c r="O15" s="81" t="n">
        <v>9</v>
      </c>
      <c r="P15" s="81" t="n">
        <v>6</v>
      </c>
      <c r="Q15" s="81" t="s">
        <v>409</v>
      </c>
      <c r="R15" s="81" t="s">
        <v>534</v>
      </c>
      <c r="S15" s="90" t="n">
        <v>45587.8256623032</v>
      </c>
      <c r="T15" s="53" t="s">
        <v>648</v>
      </c>
    </row>
    <row r="16" customFormat="false" ht="15" hidden="false" customHeight="false" outlineLevel="0" collapsed="false">
      <c r="F16" s="81" t="s">
        <v>520</v>
      </c>
      <c r="K16" s="81" t="n">
        <v>3</v>
      </c>
      <c r="N16" s="90" t="s">
        <v>526</v>
      </c>
      <c r="O16" s="81" t="n">
        <v>10</v>
      </c>
      <c r="P16" s="81" t="n">
        <v>6</v>
      </c>
      <c r="Q16" s="81" t="s">
        <v>409</v>
      </c>
      <c r="R16" s="81" t="s">
        <v>534</v>
      </c>
      <c r="S16" s="90" t="n">
        <v>45587.8262482755</v>
      </c>
      <c r="T16" s="53" t="n">
        <v>3</v>
      </c>
    </row>
    <row r="17" customFormat="false" ht="63.6" hidden="false" customHeight="false" outlineLevel="0" collapsed="false">
      <c r="D17" s="81" t="s">
        <v>520</v>
      </c>
      <c r="I17" s="81" t="s">
        <v>520</v>
      </c>
      <c r="L17" s="82" t="s">
        <v>520</v>
      </c>
      <c r="N17" s="90" t="s">
        <v>522</v>
      </c>
      <c r="O17" s="81" t="n">
        <v>11</v>
      </c>
      <c r="P17" s="81" t="n">
        <v>2</v>
      </c>
      <c r="Q17" s="81" t="s">
        <v>409</v>
      </c>
      <c r="R17" s="81" t="s">
        <v>389</v>
      </c>
      <c r="S17" s="90" t="n">
        <v>45587.8262482755</v>
      </c>
      <c r="T17" s="53" t="s">
        <v>649</v>
      </c>
    </row>
    <row r="18" customFormat="false" ht="15" hidden="false" customHeight="false" outlineLevel="0" collapsed="false">
      <c r="B18" s="82" t="s">
        <v>650</v>
      </c>
      <c r="C18" s="81" t="s">
        <v>520</v>
      </c>
      <c r="F18" s="81" t="s">
        <v>520</v>
      </c>
      <c r="K18" s="81" t="n">
        <v>3</v>
      </c>
      <c r="N18" s="90" t="s">
        <v>526</v>
      </c>
      <c r="O18" s="81" t="n">
        <v>12</v>
      </c>
      <c r="P18" s="81" t="n">
        <v>2</v>
      </c>
      <c r="Q18" s="81" t="s">
        <v>409</v>
      </c>
      <c r="R18" s="81" t="s">
        <v>389</v>
      </c>
      <c r="S18" s="90" t="n">
        <v>45587.8270785301</v>
      </c>
      <c r="T18" s="53" t="s">
        <v>132</v>
      </c>
    </row>
    <row r="19" customFormat="false" ht="38.6" hidden="false" customHeight="false" outlineLevel="0" collapsed="false">
      <c r="C19" s="81" t="s">
        <v>530</v>
      </c>
      <c r="D19" s="81" t="s">
        <v>520</v>
      </c>
      <c r="I19" s="81" t="s">
        <v>520</v>
      </c>
      <c r="L19" s="82" t="s">
        <v>520</v>
      </c>
      <c r="N19" s="90" t="s">
        <v>522</v>
      </c>
      <c r="O19" s="81" t="n">
        <v>13</v>
      </c>
      <c r="P19" s="81" t="n">
        <v>2</v>
      </c>
      <c r="Q19" s="81" t="s">
        <v>394</v>
      </c>
      <c r="R19" s="81" t="s">
        <v>534</v>
      </c>
      <c r="S19" s="90" t="n">
        <v>45587.8270785301</v>
      </c>
      <c r="T19" s="53" t="s">
        <v>651</v>
      </c>
    </row>
    <row r="20" customFormat="false" ht="15" hidden="false" customHeight="false" outlineLevel="0" collapsed="false">
      <c r="F20" s="81" t="s">
        <v>520</v>
      </c>
      <c r="K20" s="81" t="n">
        <v>3</v>
      </c>
      <c r="N20" s="90" t="s">
        <v>526</v>
      </c>
      <c r="O20" s="81" t="n">
        <v>14</v>
      </c>
      <c r="P20" s="81" t="n">
        <v>2</v>
      </c>
      <c r="Q20" s="81" t="s">
        <v>394</v>
      </c>
      <c r="R20" s="81" t="s">
        <v>534</v>
      </c>
      <c r="S20" s="90" t="n">
        <v>45587.8274230903</v>
      </c>
      <c r="T20" s="53" t="n">
        <v>4</v>
      </c>
    </row>
    <row r="21" customFormat="false" ht="63.6" hidden="false" customHeight="false" outlineLevel="0" collapsed="false">
      <c r="D21" s="81" t="s">
        <v>520</v>
      </c>
      <c r="I21" s="81" t="s">
        <v>520</v>
      </c>
      <c r="L21" s="82" t="s">
        <v>520</v>
      </c>
      <c r="N21" s="90" t="s">
        <v>522</v>
      </c>
      <c r="O21" s="81" t="n">
        <v>15</v>
      </c>
      <c r="P21" s="81" t="n">
        <v>5</v>
      </c>
      <c r="Q21" s="81" t="s">
        <v>394</v>
      </c>
      <c r="R21" s="81" t="s">
        <v>389</v>
      </c>
      <c r="S21" s="90" t="n">
        <v>45587.8274230903</v>
      </c>
      <c r="T21" s="53" t="s">
        <v>652</v>
      </c>
    </row>
    <row r="22" customFormat="false" ht="15" hidden="false" customHeight="false" outlineLevel="0" collapsed="false">
      <c r="B22" s="82" t="s">
        <v>650</v>
      </c>
      <c r="C22" s="81" t="s">
        <v>520</v>
      </c>
      <c r="F22" s="81" t="s">
        <v>520</v>
      </c>
      <c r="K22" s="81" t="n">
        <v>3</v>
      </c>
      <c r="N22" s="90" t="s">
        <v>526</v>
      </c>
      <c r="O22" s="81" t="n">
        <v>16</v>
      </c>
      <c r="P22" s="81" t="n">
        <v>5</v>
      </c>
      <c r="Q22" s="81" t="s">
        <v>394</v>
      </c>
      <c r="R22" s="81" t="s">
        <v>389</v>
      </c>
      <c r="S22" s="90" t="n">
        <v>45587.8281732407</v>
      </c>
      <c r="T22" s="53" t="s">
        <v>133</v>
      </c>
    </row>
    <row r="23" customFormat="false" ht="63.6" hidden="false" customHeight="false" outlineLevel="0" collapsed="false">
      <c r="C23" s="81" t="s">
        <v>530</v>
      </c>
      <c r="D23" s="81" t="s">
        <v>520</v>
      </c>
      <c r="I23" s="81" t="s">
        <v>520</v>
      </c>
      <c r="L23" s="82" t="s">
        <v>520</v>
      </c>
      <c r="N23" s="90" t="s">
        <v>522</v>
      </c>
      <c r="O23" s="81" t="n">
        <v>17</v>
      </c>
      <c r="P23" s="81" t="n">
        <v>5</v>
      </c>
      <c r="Q23" s="81" t="s">
        <v>394</v>
      </c>
      <c r="R23" s="81" t="s">
        <v>534</v>
      </c>
      <c r="S23" s="90" t="n">
        <v>45587.8281732407</v>
      </c>
      <c r="T23" s="53" t="s">
        <v>653</v>
      </c>
    </row>
    <row r="24" customFormat="false" ht="15" hidden="false" customHeight="false" outlineLevel="0" collapsed="false">
      <c r="F24" s="81" t="s">
        <v>520</v>
      </c>
      <c r="K24" s="81" t="n">
        <v>3</v>
      </c>
      <c r="N24" s="90" t="s">
        <v>526</v>
      </c>
      <c r="O24" s="81" t="n">
        <v>18</v>
      </c>
      <c r="P24" s="81" t="n">
        <v>5</v>
      </c>
      <c r="Q24" s="81" t="s">
        <v>394</v>
      </c>
      <c r="R24" s="81" t="s">
        <v>534</v>
      </c>
      <c r="S24" s="90" t="n">
        <v>45587.8286448843</v>
      </c>
      <c r="T24" s="53" t="n">
        <v>3</v>
      </c>
    </row>
    <row r="25" customFormat="false" ht="51.1" hidden="false" customHeight="false" outlineLevel="0" collapsed="false">
      <c r="D25" s="81" t="s">
        <v>520</v>
      </c>
      <c r="I25" s="81" t="s">
        <v>520</v>
      </c>
      <c r="L25" s="82" t="s">
        <v>520</v>
      </c>
      <c r="N25" s="90" t="s">
        <v>522</v>
      </c>
      <c r="O25" s="81" t="n">
        <v>19</v>
      </c>
      <c r="P25" s="81" t="n">
        <v>1</v>
      </c>
      <c r="Q25" s="81" t="s">
        <v>394</v>
      </c>
      <c r="R25" s="81" t="s">
        <v>389</v>
      </c>
      <c r="S25" s="90" t="n">
        <v>45587.8286448843</v>
      </c>
      <c r="T25" s="53" t="s">
        <v>654</v>
      </c>
    </row>
    <row r="26" customFormat="false" ht="15" hidden="false" customHeight="false" outlineLevel="0" collapsed="false">
      <c r="B26" s="82" t="s">
        <v>655</v>
      </c>
      <c r="F26" s="81" t="s">
        <v>520</v>
      </c>
      <c r="K26" s="81" t="n">
        <v>3</v>
      </c>
      <c r="N26" s="90" t="s">
        <v>526</v>
      </c>
      <c r="O26" s="81" t="n">
        <v>20</v>
      </c>
      <c r="P26" s="81" t="n">
        <v>1</v>
      </c>
      <c r="Q26" s="81" t="s">
        <v>394</v>
      </c>
      <c r="R26" s="81" t="s">
        <v>389</v>
      </c>
      <c r="S26" s="90" t="n">
        <v>45587.829276956</v>
      </c>
      <c r="T26" s="53" t="s">
        <v>134</v>
      </c>
    </row>
    <row r="27" customFormat="false" ht="51.1" hidden="false" customHeight="false" outlineLevel="0" collapsed="false">
      <c r="D27" s="81" t="s">
        <v>530</v>
      </c>
      <c r="E27" s="82" t="s">
        <v>656</v>
      </c>
      <c r="I27" s="81" t="s">
        <v>520</v>
      </c>
      <c r="L27" s="82" t="s">
        <v>520</v>
      </c>
      <c r="N27" s="90" t="s">
        <v>522</v>
      </c>
      <c r="O27" s="81" t="n">
        <v>21</v>
      </c>
      <c r="P27" s="81" t="n">
        <v>1</v>
      </c>
      <c r="Q27" s="81" t="s">
        <v>394</v>
      </c>
      <c r="R27" s="81" t="s">
        <v>389</v>
      </c>
      <c r="S27" s="90" t="n">
        <v>45587.829276956</v>
      </c>
      <c r="T27" s="53" t="s">
        <v>657</v>
      </c>
    </row>
    <row r="28" customFormat="false" ht="15" hidden="false" customHeight="false" outlineLevel="0" collapsed="false">
      <c r="B28" s="82" t="s">
        <v>398</v>
      </c>
      <c r="F28" s="81" t="s">
        <v>520</v>
      </c>
      <c r="K28" s="81" t="n">
        <v>3</v>
      </c>
      <c r="N28" s="90" t="s">
        <v>526</v>
      </c>
      <c r="O28" s="81" t="n">
        <v>22</v>
      </c>
      <c r="P28" s="81" t="n">
        <v>1</v>
      </c>
      <c r="Q28" s="81" t="s">
        <v>394</v>
      </c>
      <c r="R28" s="81" t="s">
        <v>389</v>
      </c>
      <c r="S28" s="90" t="n">
        <v>45587.8299672569</v>
      </c>
      <c r="T28" s="53" t="s">
        <v>135</v>
      </c>
    </row>
    <row r="29" customFormat="false" ht="201.1" hidden="false" customHeight="false" outlineLevel="0" collapsed="false">
      <c r="C29" s="81" t="s">
        <v>520</v>
      </c>
      <c r="D29" s="81" t="s">
        <v>520</v>
      </c>
      <c r="I29" s="81" t="s">
        <v>520</v>
      </c>
      <c r="L29" s="82" t="s">
        <v>520</v>
      </c>
      <c r="N29" s="90" t="s">
        <v>522</v>
      </c>
      <c r="O29" s="81" t="n">
        <v>23</v>
      </c>
      <c r="P29" s="81" t="n">
        <v>1</v>
      </c>
      <c r="Q29" s="81" t="s">
        <v>399</v>
      </c>
      <c r="R29" s="81" t="s">
        <v>534</v>
      </c>
      <c r="S29" s="90" t="n">
        <v>45587.8299672569</v>
      </c>
      <c r="T29" s="53" t="s">
        <v>658</v>
      </c>
    </row>
    <row r="30" customFormat="false" ht="15" hidden="false" customHeight="false" outlineLevel="0" collapsed="false">
      <c r="F30" s="81" t="s">
        <v>520</v>
      </c>
      <c r="K30" s="81" t="n">
        <v>3</v>
      </c>
      <c r="N30" s="90" t="s">
        <v>526</v>
      </c>
      <c r="O30" s="81" t="n">
        <v>24</v>
      </c>
      <c r="P30" s="81" t="n">
        <v>1</v>
      </c>
      <c r="Q30" s="81" t="s">
        <v>399</v>
      </c>
      <c r="R30" s="81" t="s">
        <v>534</v>
      </c>
      <c r="S30" s="90" t="n">
        <v>45587.8303944792</v>
      </c>
      <c r="T30" s="53" t="n">
        <v>4</v>
      </c>
    </row>
    <row r="31" customFormat="false" ht="63.6" hidden="false" customHeight="false" outlineLevel="0" collapsed="false">
      <c r="C31" s="81" t="s">
        <v>520</v>
      </c>
      <c r="D31" s="81" t="s">
        <v>520</v>
      </c>
      <c r="I31" s="81" t="s">
        <v>530</v>
      </c>
      <c r="J31" s="82" t="s">
        <v>532</v>
      </c>
      <c r="L31" s="82" t="s">
        <v>530</v>
      </c>
      <c r="N31" s="90" t="s">
        <v>522</v>
      </c>
      <c r="O31" s="81" t="n">
        <v>25</v>
      </c>
      <c r="P31" s="81" t="n">
        <v>1</v>
      </c>
      <c r="Q31" s="81" t="s">
        <v>398</v>
      </c>
      <c r="R31" s="81" t="s">
        <v>534</v>
      </c>
      <c r="S31" s="90" t="n">
        <v>45587.8303944792</v>
      </c>
      <c r="T31" s="53" t="s">
        <v>659</v>
      </c>
    </row>
    <row r="32" customFormat="false" ht="15" hidden="false" customHeight="false" outlineLevel="0" collapsed="false">
      <c r="F32" s="81" t="s">
        <v>520</v>
      </c>
      <c r="K32" s="81" t="n">
        <v>3</v>
      </c>
      <c r="N32" s="90" t="s">
        <v>526</v>
      </c>
      <c r="O32" s="81" t="n">
        <v>26</v>
      </c>
      <c r="P32" s="81" t="n">
        <v>1</v>
      </c>
      <c r="Q32" s="81" t="s">
        <v>398</v>
      </c>
      <c r="R32" s="81" t="s">
        <v>534</v>
      </c>
      <c r="S32" s="90" t="n">
        <v>45587.830902963</v>
      </c>
      <c r="T32" s="53" t="n">
        <v>4</v>
      </c>
    </row>
    <row r="33" customFormat="false" ht="51.1" hidden="false" customHeight="false" outlineLevel="0" collapsed="false">
      <c r="D33" s="81" t="s">
        <v>520</v>
      </c>
      <c r="I33" s="81" t="s">
        <v>520</v>
      </c>
      <c r="L33" s="82" t="s">
        <v>520</v>
      </c>
      <c r="N33" s="90" t="s">
        <v>522</v>
      </c>
      <c r="O33" s="81" t="n">
        <v>27</v>
      </c>
      <c r="P33" s="81" t="n">
        <v>3</v>
      </c>
      <c r="Q33" s="81" t="s">
        <v>398</v>
      </c>
      <c r="R33" s="81" t="s">
        <v>389</v>
      </c>
      <c r="S33" s="90" t="n">
        <v>45587.830902963</v>
      </c>
      <c r="T33" s="53" t="s">
        <v>660</v>
      </c>
    </row>
    <row r="34" customFormat="false" ht="15" hidden="false" customHeight="false" outlineLevel="0" collapsed="false">
      <c r="B34" s="82" t="s">
        <v>640</v>
      </c>
      <c r="F34" s="81" t="s">
        <v>520</v>
      </c>
      <c r="K34" s="81" t="n">
        <v>3</v>
      </c>
      <c r="N34" s="90" t="s">
        <v>526</v>
      </c>
      <c r="O34" s="81" t="n">
        <v>28</v>
      </c>
      <c r="P34" s="81" t="n">
        <v>3</v>
      </c>
      <c r="Q34" s="81" t="s">
        <v>398</v>
      </c>
      <c r="R34" s="81" t="s">
        <v>389</v>
      </c>
      <c r="S34" s="90" t="n">
        <v>45587.8316536574</v>
      </c>
      <c r="T34" s="53" t="s">
        <v>136</v>
      </c>
    </row>
    <row r="35" customFormat="false" ht="38.6" hidden="false" customHeight="false" outlineLevel="0" collapsed="false">
      <c r="C35" s="81" t="s">
        <v>520</v>
      </c>
      <c r="D35" s="81" t="s">
        <v>520</v>
      </c>
      <c r="I35" s="81" t="s">
        <v>520</v>
      </c>
      <c r="L35" s="82" t="s">
        <v>520</v>
      </c>
      <c r="N35" s="90" t="s">
        <v>522</v>
      </c>
      <c r="O35" s="81" t="n">
        <v>29</v>
      </c>
      <c r="P35" s="81" t="n">
        <v>3</v>
      </c>
      <c r="Q35" s="81" t="s">
        <v>398</v>
      </c>
      <c r="R35" s="81" t="s">
        <v>534</v>
      </c>
      <c r="S35" s="90" t="n">
        <v>45587.8316536574</v>
      </c>
      <c r="T35" s="53" t="s">
        <v>661</v>
      </c>
    </row>
    <row r="36" customFormat="false" ht="15" hidden="false" customHeight="false" outlineLevel="0" collapsed="false">
      <c r="C36" s="81" t="s">
        <v>530</v>
      </c>
      <c r="F36" s="81" t="s">
        <v>520</v>
      </c>
      <c r="K36" s="81" t="n">
        <v>3</v>
      </c>
      <c r="N36" s="90" t="s">
        <v>526</v>
      </c>
      <c r="O36" s="81" t="n">
        <v>30</v>
      </c>
      <c r="P36" s="81" t="n">
        <v>3</v>
      </c>
      <c r="Q36" s="81" t="s">
        <v>398</v>
      </c>
      <c r="R36" s="81" t="s">
        <v>534</v>
      </c>
      <c r="S36" s="90" t="n">
        <v>45587.8321712384</v>
      </c>
      <c r="T36" s="53" t="n">
        <v>4</v>
      </c>
    </row>
    <row r="37" customFormat="false" ht="176.1" hidden="false" customHeight="false" outlineLevel="0" collapsed="false">
      <c r="D37" s="81" t="s">
        <v>530</v>
      </c>
      <c r="E37" s="82" t="s">
        <v>662</v>
      </c>
      <c r="I37" s="81" t="s">
        <v>520</v>
      </c>
      <c r="L37" s="82" t="s">
        <v>520</v>
      </c>
      <c r="N37" s="90" t="s">
        <v>522</v>
      </c>
      <c r="O37" s="81" t="n">
        <v>31</v>
      </c>
      <c r="Q37" s="81" t="s">
        <v>398</v>
      </c>
      <c r="R37" s="81" t="s">
        <v>585</v>
      </c>
      <c r="S37" s="90" t="n">
        <v>45587.8321712384</v>
      </c>
      <c r="T37" s="53" t="s">
        <v>663</v>
      </c>
    </row>
    <row r="38" customFormat="false" ht="15" hidden="false" customHeight="false" outlineLevel="0" collapsed="false">
      <c r="F38" s="81" t="s">
        <v>530</v>
      </c>
      <c r="K38" s="81" t="n">
        <v>4</v>
      </c>
      <c r="N38" s="90" t="s">
        <v>526</v>
      </c>
      <c r="O38" s="81" t="n">
        <v>32</v>
      </c>
      <c r="P38" s="81" t="n">
        <v>3</v>
      </c>
      <c r="Q38" s="81" t="s">
        <v>398</v>
      </c>
      <c r="R38" s="81" t="s">
        <v>585</v>
      </c>
      <c r="S38" s="90" t="n">
        <v>45587.8326990741</v>
      </c>
      <c r="T38" s="53" t="s">
        <v>137</v>
      </c>
    </row>
    <row r="39" customFormat="false" ht="338.6" hidden="false" customHeight="false" outlineLevel="0" collapsed="false">
      <c r="D39" s="81" t="s">
        <v>520</v>
      </c>
      <c r="G39" s="81" t="s">
        <v>520</v>
      </c>
      <c r="I39" s="81" t="s">
        <v>520</v>
      </c>
      <c r="L39" s="82" t="s">
        <v>530</v>
      </c>
      <c r="M39" s="82" t="s">
        <v>664</v>
      </c>
      <c r="N39" s="90" t="s">
        <v>522</v>
      </c>
      <c r="O39" s="81" t="n">
        <v>33</v>
      </c>
      <c r="R39" s="81" t="s">
        <v>585</v>
      </c>
      <c r="S39" s="90" t="n">
        <v>45587.8329050926</v>
      </c>
      <c r="T39" s="53" t="s">
        <v>665</v>
      </c>
    </row>
    <row r="40" customFormat="false" ht="15" hidden="false" customHeight="false" outlineLevel="0" collapsed="false">
      <c r="N40" s="109"/>
      <c r="S40" s="109"/>
    </row>
    <row r="41" customFormat="false" ht="15" hidden="false" customHeight="false" outlineLevel="0" collapsed="false">
      <c r="N41" s="109"/>
      <c r="S41" s="109"/>
    </row>
    <row r="42" customFormat="false" ht="15" hidden="false" customHeight="false" outlineLevel="0" collapsed="false">
      <c r="N42" s="109"/>
      <c r="S42" s="109"/>
    </row>
    <row r="43" customFormat="false" ht="15" hidden="false" customHeight="false" outlineLevel="0" collapsed="false">
      <c r="N43" s="109"/>
      <c r="S43" s="109"/>
    </row>
    <row r="44" customFormat="false" ht="15" hidden="false" customHeight="false" outlineLevel="0" collapsed="false">
      <c r="N44" s="109"/>
      <c r="S44" s="109"/>
    </row>
    <row r="45" customFormat="false" ht="15" hidden="false" customHeight="false" outlineLevel="0" collapsed="false">
      <c r="N45" s="109"/>
      <c r="S45" s="109"/>
    </row>
    <row r="46" customFormat="false" ht="15" hidden="false" customHeight="false" outlineLevel="0" collapsed="false">
      <c r="N46" s="109"/>
      <c r="S46" s="109"/>
    </row>
    <row r="47" customFormat="false" ht="15" hidden="false" customHeight="false" outlineLevel="0" collapsed="false">
      <c r="N47" s="109"/>
      <c r="S47" s="109"/>
    </row>
    <row r="48" customFormat="false" ht="15" hidden="false" customHeight="false" outlineLevel="0" collapsed="false">
      <c r="N48" s="109"/>
      <c r="S48" s="109"/>
    </row>
    <row r="49" customFormat="false" ht="15" hidden="false" customHeight="false" outlineLevel="0" collapsed="false">
      <c r="N49" s="109"/>
      <c r="S49" s="109"/>
    </row>
    <row r="50" customFormat="false" ht="15" hidden="false" customHeight="false" outlineLevel="0" collapsed="false">
      <c r="N50" s="109"/>
      <c r="S50" s="109"/>
    </row>
    <row r="51" customFormat="false" ht="15" hidden="false" customHeight="false" outlineLevel="0" collapsed="false">
      <c r="N51" s="109"/>
      <c r="S51" s="109"/>
    </row>
    <row r="52" customFormat="false" ht="15" hidden="false" customHeight="false" outlineLevel="0" collapsed="false">
      <c r="N52" s="109"/>
      <c r="S52" s="109"/>
    </row>
    <row r="53" customFormat="false" ht="15" hidden="false" customHeight="false" outlineLevel="0" collapsed="false">
      <c r="N53" s="109"/>
      <c r="S53" s="109"/>
    </row>
    <row r="54" customFormat="false" ht="15" hidden="false" customHeight="false" outlineLevel="0" collapsed="false">
      <c r="N54" s="109"/>
      <c r="S54" s="109"/>
    </row>
    <row r="55" customFormat="false" ht="15" hidden="false" customHeight="false" outlineLevel="0" collapsed="false">
      <c r="N55" s="109"/>
      <c r="S55" s="109"/>
    </row>
    <row r="56" customFormat="false" ht="15" hidden="false" customHeight="false" outlineLevel="0" collapsed="false">
      <c r="N56" s="109"/>
      <c r="S56" s="109"/>
    </row>
    <row r="57" customFormat="false" ht="15" hidden="false" customHeight="false" outlineLevel="0" collapsed="false">
      <c r="N57" s="109"/>
      <c r="S57" s="109"/>
    </row>
    <row r="58" customFormat="false" ht="15" hidden="false" customHeight="false" outlineLevel="0" collapsed="false">
      <c r="N58" s="109"/>
      <c r="S58" s="109"/>
    </row>
    <row r="59" customFormat="false" ht="15" hidden="false" customHeight="false" outlineLevel="0" collapsed="false">
      <c r="N59" s="109"/>
      <c r="S59" s="109"/>
    </row>
    <row r="60" customFormat="false" ht="15" hidden="false" customHeight="false" outlineLevel="0" collapsed="false">
      <c r="N60" s="109"/>
      <c r="S60" s="109"/>
    </row>
    <row r="61" customFormat="false" ht="15" hidden="false" customHeight="false" outlineLevel="0" collapsed="false">
      <c r="N61" s="110"/>
      <c r="S61" s="110"/>
    </row>
  </sheetData>
  <conditionalFormatting sqref="N2:S6">
    <cfRule type="expression" priority="2" aboveAverage="0" equalAverage="0" bottom="0" percent="0" rank="0" text="" dxfId="33">
      <formula>$N2="agent"</formula>
    </cfRule>
  </conditionalFormatting>
  <conditionalFormatting sqref="N7:T39">
    <cfRule type="expression" priority="3" aboveAverage="0" equalAverage="0" bottom="0" percent="0" rank="0" text="" dxfId="34">
      <formula>$N7="agent"</formula>
    </cfRule>
  </conditionalFormatting>
  <conditionalFormatting sqref="N40:S105">
    <cfRule type="expression" priority="4" aboveAverage="0" equalAverage="0" bottom="0" percent="0" rank="0" text="" dxfId="35">
      <formula>$N40="agent"</formula>
    </cfRule>
  </conditionalFormatting>
  <conditionalFormatting sqref="S2">
    <cfRule type="expression" priority="5" aboveAverage="0" equalAverage="0" bottom="0" percent="0" rank="0" text="" dxfId="36">
      <formula>$N3="agent"</formula>
    </cfRule>
  </conditionalFormatting>
  <conditionalFormatting sqref="A1:S1 T1:XFD3">
    <cfRule type="expression" priority="6" aboveAverage="0" equalAverage="0" bottom="0" percent="0" rank="0" text="" dxfId="37">
      <formula>$N1="agent"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83" activePane="bottomLeft" state="frozen"/>
      <selection pane="topLeft" activeCell="A1" activeCellId="0" sqref="A1"/>
      <selection pane="bottomLeft" activeCell="R83" activeCellId="0" sqref="R83"/>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9.43"/>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86"/>
    <col collapsed="false" customWidth="true" hidden="false" outlineLevel="0" max="19" min="19" style="109" width="20.57"/>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n">
        <f aca="false">COUNTIF(C7:C108,"y")/(COUNTIF(C7:C108,"y")+COUNTIF(C7:C108,"n"))</f>
        <v>0.454545454545455</v>
      </c>
      <c r="D2" s="86" t="n">
        <f aca="false">COUNTIF(D7:D108,"y")/(COUNTIF(D7:D108,"y")+COUNTIF(D7:D108,"n"))</f>
        <v>0.317073170731707</v>
      </c>
      <c r="E2" s="86"/>
      <c r="F2" s="86" t="n">
        <f aca="false">COUNTIF(F7:F108,"y")/(COUNTIF(F7:F108,"y")+COUNTIF(F7:F108,"n"))</f>
        <v>0.375</v>
      </c>
      <c r="G2" s="86" t="n">
        <f aca="false">COUNTIF(G7:G108,"y")/(COUNTIF(G7:G108,"y")+COUNTIF(G7:G108,"n"))</f>
        <v>0.16</v>
      </c>
      <c r="H2" s="86"/>
      <c r="I2" s="86" t="n">
        <f aca="false">COUNTIF(I7:I108,"y")/(COUNTIF(I7:I108,"y")+COUNTIF(I7:I108,"n"))</f>
        <v>0.536585365853659</v>
      </c>
      <c r="J2" s="86"/>
      <c r="K2" s="86" t="n">
        <f aca="false">COUNTIF(K7:K108,"1")</f>
        <v>0</v>
      </c>
      <c r="L2" s="86" t="n">
        <f aca="false">COUNTIF(L7:L108,"y")/(COUNTIF(L7:L108,"y")+COUNTIF(L7:L108,"n"))</f>
        <v>0.875</v>
      </c>
      <c r="M2" s="86"/>
      <c r="O2" s="87" t="n">
        <f aca="false" t="array" ref="O2:O2">LOOKUP(2,1/(O:O&lt;&gt;""),O:O)</f>
        <v>81</v>
      </c>
      <c r="R2" s="83" t="n">
        <f aca="false">COUNTIF(R7:R100,"strategy")/2</f>
        <v>14</v>
      </c>
      <c r="S2" s="88" t="n">
        <f aca="false" t="array" ref="S2:S2">LOOKUP(2,1/(S:S&lt;&gt;""),S:S)-S7</f>
        <v>0.109320162038773</v>
      </c>
      <c r="T2" s="85"/>
    </row>
    <row r="3" s="83" customFormat="true" ht="15" hidden="false" customHeight="false" outlineLevel="0" collapsed="false">
      <c r="B3" s="89"/>
      <c r="C3" s="89"/>
      <c r="D3" s="89"/>
      <c r="E3" s="89"/>
      <c r="F3" s="89"/>
      <c r="G3" s="89"/>
      <c r="H3" s="89"/>
      <c r="I3" s="89"/>
      <c r="J3" s="89"/>
      <c r="K3" s="86" t="n">
        <f aca="false">COUNTIF(K7:K108,"2")</f>
        <v>2</v>
      </c>
      <c r="L3" s="89"/>
      <c r="M3" s="89"/>
      <c r="R3" s="83" t="n">
        <f aca="false">COUNTIF(R7:R100,"frequency")/2</f>
        <v>10</v>
      </c>
      <c r="T3" s="85"/>
    </row>
    <row r="4" s="83" customFormat="true" ht="15" hidden="false" customHeight="false" outlineLevel="0" collapsed="false">
      <c r="B4" s="89"/>
      <c r="C4" s="89"/>
      <c r="D4" s="89"/>
      <c r="E4" s="89"/>
      <c r="F4" s="89"/>
      <c r="H4" s="89"/>
      <c r="I4" s="89"/>
      <c r="J4" s="89"/>
      <c r="K4" s="86" t="n">
        <f aca="false">COUNTIF(K7:K108,"3")</f>
        <v>35</v>
      </c>
      <c r="L4" s="89"/>
      <c r="M4" s="89"/>
      <c r="R4" s="83" t="n">
        <f aca="false">CEILING(COUNTIF(R7:R100,"complete")/2,1)</f>
        <v>10</v>
      </c>
      <c r="S4" s="105" t="n">
        <f aca="false">(S84-S8)+(S87-S86)</f>
        <v>0.0634245833280147</v>
      </c>
      <c r="T4" s="85"/>
    </row>
    <row r="5" s="83" customFormat="true" ht="15" hidden="false" customHeight="false" outlineLevel="0" collapsed="false">
      <c r="B5" s="89"/>
      <c r="C5" s="89"/>
      <c r="D5" s="89"/>
      <c r="E5" s="89"/>
      <c r="F5" s="89"/>
      <c r="G5" s="89"/>
      <c r="H5" s="89"/>
      <c r="I5" s="89"/>
      <c r="J5" s="89"/>
      <c r="K5" s="86" t="n">
        <f aca="false">COUNTIF(K7:K108,"4")</f>
        <v>2</v>
      </c>
      <c r="L5" s="89"/>
      <c r="M5" s="89"/>
      <c r="T5" s="85"/>
    </row>
    <row r="6" s="92" customFormat="true" ht="15" hidden="false" customHeight="false" outlineLevel="0" collapsed="false">
      <c r="B6" s="93"/>
      <c r="C6" s="93"/>
      <c r="D6" s="93"/>
      <c r="E6" s="93"/>
      <c r="F6" s="93"/>
      <c r="G6" s="93"/>
      <c r="H6" s="93"/>
      <c r="I6" s="93"/>
      <c r="J6" s="93"/>
      <c r="K6" s="94" t="n">
        <f aca="false">COUNTIF(K7:K108,"5")</f>
        <v>1</v>
      </c>
      <c r="L6" s="93"/>
      <c r="M6" s="93"/>
      <c r="T6" s="95"/>
    </row>
    <row r="7" s="96" customFormat="true" ht="26.1" hidden="false" customHeight="false" outlineLevel="0" collapsed="false">
      <c r="B7" s="97" t="s">
        <v>525</v>
      </c>
      <c r="D7" s="96" t="s">
        <v>520</v>
      </c>
      <c r="E7" s="97"/>
      <c r="I7" s="96" t="s">
        <v>520</v>
      </c>
      <c r="J7" s="97"/>
      <c r="L7" s="97"/>
      <c r="M7" s="97"/>
      <c r="N7" s="111" t="s">
        <v>522</v>
      </c>
      <c r="O7" s="96" t="n">
        <v>1</v>
      </c>
      <c r="R7" s="96" t="s">
        <v>523</v>
      </c>
      <c r="S7" s="98" t="n">
        <v>45592.5414437269</v>
      </c>
      <c r="T7" s="112" t="s">
        <v>666</v>
      </c>
    </row>
    <row r="8" customFormat="false" ht="15" hidden="false" customHeight="false" outlineLevel="0" collapsed="false">
      <c r="B8" s="97" t="s">
        <v>525</v>
      </c>
      <c r="F8" s="81" t="s">
        <v>520</v>
      </c>
      <c r="K8" s="81" t="n">
        <v>3</v>
      </c>
      <c r="N8" s="113" t="s">
        <v>526</v>
      </c>
      <c r="O8" s="81" t="n">
        <v>2</v>
      </c>
      <c r="R8" s="81" t="s">
        <v>523</v>
      </c>
      <c r="S8" s="109" t="n">
        <v>45592.5746529745</v>
      </c>
      <c r="T8" s="54" t="s">
        <v>667</v>
      </c>
    </row>
    <row r="9" customFormat="false" ht="63.6" hidden="false" customHeight="false" outlineLevel="0" collapsed="false">
      <c r="B9" s="97" t="s">
        <v>525</v>
      </c>
      <c r="D9" s="81" t="s">
        <v>530</v>
      </c>
      <c r="E9" s="82" t="s">
        <v>668</v>
      </c>
      <c r="I9" s="81" t="s">
        <v>520</v>
      </c>
      <c r="L9" s="82" t="s">
        <v>520</v>
      </c>
      <c r="N9" s="111" t="s">
        <v>522</v>
      </c>
      <c r="O9" s="81" t="n">
        <v>3</v>
      </c>
      <c r="R9" s="81" t="s">
        <v>523</v>
      </c>
      <c r="S9" s="109" t="n">
        <v>45592.5746529745</v>
      </c>
      <c r="T9" s="112" t="s">
        <v>669</v>
      </c>
    </row>
    <row r="10" customFormat="false" ht="124.5" hidden="false" customHeight="true" outlineLevel="0" collapsed="false">
      <c r="B10" s="82" t="s">
        <v>525</v>
      </c>
      <c r="F10" s="81" t="s">
        <v>530</v>
      </c>
      <c r="K10" s="101" t="n">
        <v>3</v>
      </c>
      <c r="N10" s="113" t="s">
        <v>526</v>
      </c>
      <c r="O10" s="81" t="n">
        <v>4</v>
      </c>
      <c r="R10" s="81" t="s">
        <v>523</v>
      </c>
      <c r="S10" s="109" t="n">
        <v>45592.5759796759</v>
      </c>
      <c r="T10" s="54" t="s">
        <v>670</v>
      </c>
    </row>
    <row r="11" customFormat="false" ht="63.6" hidden="false" customHeight="false" outlineLevel="0" collapsed="false">
      <c r="B11" s="82" t="s">
        <v>525</v>
      </c>
      <c r="D11" s="81" t="s">
        <v>530</v>
      </c>
      <c r="G11" s="81" t="s">
        <v>530</v>
      </c>
      <c r="I11" s="81" t="s">
        <v>530</v>
      </c>
      <c r="J11" s="82" t="s">
        <v>532</v>
      </c>
      <c r="L11" s="82" t="s">
        <v>520</v>
      </c>
      <c r="M11" s="82" t="s">
        <v>536</v>
      </c>
      <c r="N11" s="111" t="s">
        <v>522</v>
      </c>
      <c r="O11" s="81" t="n">
        <v>5</v>
      </c>
      <c r="R11" s="81" t="s">
        <v>523</v>
      </c>
      <c r="S11" s="109" t="n">
        <v>45592.5759796759</v>
      </c>
      <c r="T11" s="112" t="s">
        <v>671</v>
      </c>
    </row>
    <row r="12" customFormat="false" ht="15" hidden="false" customHeight="false" outlineLevel="0" collapsed="false">
      <c r="B12" s="82" t="s">
        <v>525</v>
      </c>
      <c r="F12" s="81" t="s">
        <v>530</v>
      </c>
      <c r="K12" s="81" t="n">
        <v>3</v>
      </c>
      <c r="N12" s="113" t="s">
        <v>526</v>
      </c>
      <c r="O12" s="81" t="n">
        <v>6</v>
      </c>
      <c r="R12" s="81" t="s">
        <v>523</v>
      </c>
      <c r="S12" s="109" t="n">
        <v>45592.577798044</v>
      </c>
      <c r="T12" s="54" t="s">
        <v>672</v>
      </c>
    </row>
    <row r="13" customFormat="false" ht="63.6" hidden="false" customHeight="false" outlineLevel="0" collapsed="false">
      <c r="B13" s="82" t="s">
        <v>525</v>
      </c>
      <c r="D13" s="81" t="s">
        <v>530</v>
      </c>
      <c r="G13" s="81" t="s">
        <v>530</v>
      </c>
      <c r="I13" s="81" t="s">
        <v>530</v>
      </c>
      <c r="J13" s="82" t="s">
        <v>532</v>
      </c>
      <c r="L13" s="82" t="s">
        <v>520</v>
      </c>
      <c r="M13" s="82" t="s">
        <v>536</v>
      </c>
      <c r="N13" s="111" t="s">
        <v>522</v>
      </c>
      <c r="O13" s="81" t="n">
        <v>7</v>
      </c>
      <c r="R13" s="81" t="s">
        <v>523</v>
      </c>
      <c r="S13" s="109" t="n">
        <v>45592.577798044</v>
      </c>
      <c r="T13" s="112" t="s">
        <v>673</v>
      </c>
    </row>
    <row r="14" customFormat="false" ht="26.1" hidden="false" customHeight="false" outlineLevel="0" collapsed="false">
      <c r="B14" s="82" t="s">
        <v>525</v>
      </c>
      <c r="F14" s="81" t="s">
        <v>530</v>
      </c>
      <c r="K14" s="81" t="n">
        <v>3</v>
      </c>
      <c r="N14" s="113" t="s">
        <v>526</v>
      </c>
      <c r="O14" s="81" t="n">
        <v>8</v>
      </c>
      <c r="R14" s="81" t="s">
        <v>523</v>
      </c>
      <c r="S14" s="109" t="n">
        <v>45592.5799668982</v>
      </c>
      <c r="T14" s="54" t="s">
        <v>674</v>
      </c>
    </row>
    <row r="15" customFormat="false" ht="76.1" hidden="false" customHeight="false" outlineLevel="0" collapsed="false">
      <c r="B15" s="82" t="s">
        <v>525</v>
      </c>
      <c r="D15" s="81" t="s">
        <v>530</v>
      </c>
      <c r="G15" s="81" t="s">
        <v>530</v>
      </c>
      <c r="I15" s="81" t="s">
        <v>530</v>
      </c>
      <c r="J15" s="82" t="s">
        <v>532</v>
      </c>
      <c r="L15" s="82" t="s">
        <v>520</v>
      </c>
      <c r="M15" s="82" t="s">
        <v>533</v>
      </c>
      <c r="N15" s="111" t="s">
        <v>522</v>
      </c>
      <c r="O15" s="81" t="n">
        <v>9</v>
      </c>
      <c r="R15" s="81" t="s">
        <v>523</v>
      </c>
      <c r="S15" s="109" t="n">
        <v>45592.5799668982</v>
      </c>
      <c r="T15" s="112" t="s">
        <v>675</v>
      </c>
    </row>
    <row r="16" customFormat="false" ht="26.1" hidden="false" customHeight="false" outlineLevel="0" collapsed="false">
      <c r="B16" s="82" t="s">
        <v>525</v>
      </c>
      <c r="F16" s="81" t="s">
        <v>530</v>
      </c>
      <c r="K16" s="81" t="n">
        <v>3</v>
      </c>
      <c r="N16" s="113" t="s">
        <v>526</v>
      </c>
      <c r="O16" s="81" t="n">
        <v>10</v>
      </c>
      <c r="R16" s="81" t="s">
        <v>523</v>
      </c>
      <c r="S16" s="109" t="n">
        <v>45592.5851526505</v>
      </c>
      <c r="T16" s="54" t="s">
        <v>676</v>
      </c>
    </row>
    <row r="17" customFormat="false" ht="151.1" hidden="false" customHeight="false" outlineLevel="0" collapsed="false">
      <c r="B17" s="82" t="s">
        <v>525</v>
      </c>
      <c r="D17" s="81" t="s">
        <v>530</v>
      </c>
      <c r="G17" s="81" t="s">
        <v>530</v>
      </c>
      <c r="I17" s="81" t="s">
        <v>520</v>
      </c>
      <c r="L17" s="82" t="s">
        <v>520</v>
      </c>
      <c r="N17" s="111" t="s">
        <v>522</v>
      </c>
      <c r="O17" s="81" t="n">
        <v>11</v>
      </c>
      <c r="R17" s="81" t="s">
        <v>523</v>
      </c>
      <c r="S17" s="109" t="n">
        <v>45592.5851526505</v>
      </c>
      <c r="T17" s="112" t="s">
        <v>677</v>
      </c>
    </row>
    <row r="18" customFormat="false" ht="26.1" hidden="false" customHeight="false" outlineLevel="0" collapsed="false">
      <c r="B18" s="82" t="s">
        <v>525</v>
      </c>
      <c r="F18" s="81" t="s">
        <v>530</v>
      </c>
      <c r="K18" s="81" t="n">
        <v>4</v>
      </c>
      <c r="N18" s="113" t="s">
        <v>526</v>
      </c>
      <c r="O18" s="81" t="n">
        <v>12</v>
      </c>
      <c r="R18" s="81" t="s">
        <v>523</v>
      </c>
      <c r="S18" s="109" t="n">
        <v>45592.5904127546</v>
      </c>
      <c r="T18" s="54" t="s">
        <v>678</v>
      </c>
    </row>
    <row r="19" customFormat="false" ht="288.6" hidden="false" customHeight="false" outlineLevel="0" collapsed="false">
      <c r="B19" s="82" t="s">
        <v>525</v>
      </c>
      <c r="D19" s="81" t="s">
        <v>530</v>
      </c>
      <c r="G19" s="81" t="s">
        <v>530</v>
      </c>
      <c r="I19" s="81" t="s">
        <v>530</v>
      </c>
      <c r="J19" s="106" t="s">
        <v>532</v>
      </c>
      <c r="L19" s="82" t="s">
        <v>520</v>
      </c>
      <c r="M19" s="82" t="s">
        <v>533</v>
      </c>
      <c r="N19" s="111" t="s">
        <v>522</v>
      </c>
      <c r="O19" s="81" t="n">
        <v>13</v>
      </c>
      <c r="R19" s="81" t="s">
        <v>523</v>
      </c>
      <c r="S19" s="109" t="n">
        <v>45592.5904127546</v>
      </c>
      <c r="T19" s="112" t="s">
        <v>679</v>
      </c>
    </row>
    <row r="20" customFormat="false" ht="15" hidden="false" customHeight="false" outlineLevel="0" collapsed="false">
      <c r="B20" s="82" t="s">
        <v>525</v>
      </c>
      <c r="F20" s="81" t="s">
        <v>530</v>
      </c>
      <c r="K20" s="81" t="n">
        <v>5</v>
      </c>
      <c r="N20" s="113" t="s">
        <v>526</v>
      </c>
      <c r="O20" s="81" t="n">
        <v>14</v>
      </c>
      <c r="R20" s="81" t="s">
        <v>523</v>
      </c>
      <c r="S20" s="109" t="n">
        <v>45592.5954354977</v>
      </c>
      <c r="T20" s="54" t="s">
        <v>680</v>
      </c>
    </row>
    <row r="21" customFormat="false" ht="26.1" hidden="false" customHeight="false" outlineLevel="0" collapsed="false">
      <c r="B21" s="82" t="s">
        <v>525</v>
      </c>
      <c r="D21" s="81" t="s">
        <v>530</v>
      </c>
      <c r="E21" s="82" t="s">
        <v>681</v>
      </c>
      <c r="G21" s="81" t="s">
        <v>530</v>
      </c>
      <c r="I21" s="81" t="s">
        <v>520</v>
      </c>
      <c r="L21" s="82" t="s">
        <v>530</v>
      </c>
      <c r="N21" s="111" t="s">
        <v>522</v>
      </c>
      <c r="O21" s="81" t="n">
        <v>15</v>
      </c>
      <c r="P21" s="81" t="n">
        <v>12</v>
      </c>
      <c r="R21" s="81" t="s">
        <v>389</v>
      </c>
      <c r="S21" s="109" t="n">
        <v>45592.5954354977</v>
      </c>
      <c r="T21" s="112" t="s">
        <v>682</v>
      </c>
    </row>
    <row r="22" customFormat="false" ht="15" hidden="false" customHeight="false" outlineLevel="0" collapsed="false">
      <c r="B22" s="82" t="s">
        <v>525</v>
      </c>
      <c r="F22" s="81" t="s">
        <v>530</v>
      </c>
      <c r="K22" s="81" t="n">
        <v>3</v>
      </c>
      <c r="N22" s="113" t="s">
        <v>526</v>
      </c>
      <c r="O22" s="81" t="n">
        <v>16</v>
      </c>
      <c r="P22" s="81" t="n">
        <v>12</v>
      </c>
      <c r="R22" s="81" t="s">
        <v>389</v>
      </c>
      <c r="S22" s="109" t="n">
        <v>45592.598780706</v>
      </c>
      <c r="T22" s="54" t="s">
        <v>683</v>
      </c>
    </row>
    <row r="23" customFormat="false" ht="38.6" hidden="false" customHeight="false" outlineLevel="0" collapsed="false">
      <c r="B23" s="82" t="s">
        <v>525</v>
      </c>
      <c r="D23" s="81" t="s">
        <v>530</v>
      </c>
      <c r="G23" s="81" t="s">
        <v>530</v>
      </c>
      <c r="I23" s="81" t="s">
        <v>520</v>
      </c>
      <c r="L23" s="82" t="s">
        <v>520</v>
      </c>
      <c r="N23" s="111" t="s">
        <v>522</v>
      </c>
      <c r="O23" s="81" t="n">
        <v>17</v>
      </c>
      <c r="P23" s="81" t="n">
        <v>12</v>
      </c>
      <c r="R23" s="81" t="s">
        <v>389</v>
      </c>
      <c r="S23" s="109" t="n">
        <v>45592.598780706</v>
      </c>
      <c r="T23" s="112" t="s">
        <v>684</v>
      </c>
    </row>
    <row r="24" customFormat="false" ht="26.1" hidden="false" customHeight="false" outlineLevel="0" collapsed="false">
      <c r="B24" s="82" t="s">
        <v>525</v>
      </c>
      <c r="F24" s="81" t="s">
        <v>530</v>
      </c>
      <c r="K24" s="81" t="n">
        <v>3</v>
      </c>
      <c r="N24" s="113" t="s">
        <v>526</v>
      </c>
      <c r="O24" s="81" t="n">
        <v>18</v>
      </c>
      <c r="P24" s="81" t="n">
        <v>12</v>
      </c>
      <c r="R24" s="81" t="s">
        <v>389</v>
      </c>
      <c r="S24" s="109" t="n">
        <v>45592.6010832523</v>
      </c>
      <c r="T24" s="54" t="s">
        <v>685</v>
      </c>
    </row>
    <row r="25" customFormat="false" ht="26.1" hidden="false" customHeight="false" outlineLevel="0" collapsed="false">
      <c r="B25" s="82" t="s">
        <v>525</v>
      </c>
      <c r="D25" s="81" t="s">
        <v>530</v>
      </c>
      <c r="G25" s="81" t="s">
        <v>530</v>
      </c>
      <c r="I25" s="81" t="s">
        <v>520</v>
      </c>
      <c r="L25" s="82" t="s">
        <v>520</v>
      </c>
      <c r="N25" s="111" t="s">
        <v>522</v>
      </c>
      <c r="O25" s="81" t="n">
        <v>19</v>
      </c>
      <c r="P25" s="81" t="n">
        <v>12</v>
      </c>
      <c r="R25" s="81" t="s">
        <v>389</v>
      </c>
      <c r="S25" s="109" t="n">
        <v>45592.6010832523</v>
      </c>
      <c r="T25" s="112" t="s">
        <v>686</v>
      </c>
    </row>
    <row r="26" customFormat="false" ht="26.1" hidden="false" customHeight="false" outlineLevel="0" collapsed="false">
      <c r="B26" s="82" t="s">
        <v>687</v>
      </c>
      <c r="C26" s="81" t="s">
        <v>520</v>
      </c>
      <c r="F26" s="81" t="s">
        <v>530</v>
      </c>
      <c r="K26" s="81" t="n">
        <v>3</v>
      </c>
      <c r="N26" s="113" t="s">
        <v>526</v>
      </c>
      <c r="O26" s="81" t="n">
        <v>20</v>
      </c>
      <c r="P26" s="81" t="n">
        <v>12</v>
      </c>
      <c r="R26" s="81" t="s">
        <v>389</v>
      </c>
      <c r="S26" s="109" t="n">
        <v>45592.6039375347</v>
      </c>
      <c r="T26" s="54" t="s">
        <v>688</v>
      </c>
    </row>
    <row r="27" customFormat="false" ht="101.1" hidden="false" customHeight="false" outlineLevel="0" collapsed="false">
      <c r="B27" s="82" t="s">
        <v>525</v>
      </c>
      <c r="C27" s="81" t="s">
        <v>530</v>
      </c>
      <c r="D27" s="81" t="s">
        <v>530</v>
      </c>
      <c r="G27" s="81" t="s">
        <v>530</v>
      </c>
      <c r="I27" s="81" t="s">
        <v>530</v>
      </c>
      <c r="J27" s="106" t="s">
        <v>532</v>
      </c>
      <c r="L27" s="82" t="s">
        <v>520</v>
      </c>
      <c r="N27" s="111" t="s">
        <v>522</v>
      </c>
      <c r="O27" s="81" t="n">
        <v>21</v>
      </c>
      <c r="P27" s="81" t="n">
        <v>10</v>
      </c>
      <c r="R27" s="81" t="s">
        <v>389</v>
      </c>
      <c r="S27" s="109" t="n">
        <v>45592.6039375347</v>
      </c>
      <c r="T27" s="112" t="s">
        <v>689</v>
      </c>
    </row>
    <row r="28" customFormat="false" ht="15" hidden="false" customHeight="false" outlineLevel="0" collapsed="false">
      <c r="B28" s="82" t="s">
        <v>525</v>
      </c>
      <c r="F28" s="81" t="s">
        <v>530</v>
      </c>
      <c r="K28" s="81" t="n">
        <v>3</v>
      </c>
      <c r="N28" s="113" t="s">
        <v>526</v>
      </c>
      <c r="O28" s="81" t="n">
        <v>22</v>
      </c>
      <c r="P28" s="81" t="n">
        <v>10</v>
      </c>
      <c r="R28" s="81" t="s">
        <v>389</v>
      </c>
      <c r="S28" s="109" t="n">
        <v>45592.6074205556</v>
      </c>
      <c r="T28" s="54" t="s">
        <v>690</v>
      </c>
    </row>
    <row r="29" customFormat="false" ht="63.6" hidden="false" customHeight="false" outlineLevel="0" collapsed="false">
      <c r="B29" s="82" t="s">
        <v>525</v>
      </c>
      <c r="D29" s="81" t="s">
        <v>520</v>
      </c>
      <c r="G29" s="81" t="s">
        <v>520</v>
      </c>
      <c r="I29" s="81" t="s">
        <v>530</v>
      </c>
      <c r="J29" s="106" t="s">
        <v>532</v>
      </c>
      <c r="L29" s="82" t="s">
        <v>520</v>
      </c>
      <c r="N29" s="111" t="s">
        <v>522</v>
      </c>
      <c r="O29" s="81" t="n">
        <v>23</v>
      </c>
      <c r="P29" s="81" t="n">
        <v>10</v>
      </c>
      <c r="Q29" s="81" t="s">
        <v>409</v>
      </c>
      <c r="R29" s="81" t="s">
        <v>534</v>
      </c>
      <c r="S29" s="109" t="n">
        <v>45592.6074205556</v>
      </c>
      <c r="T29" s="112" t="s">
        <v>691</v>
      </c>
    </row>
    <row r="30" customFormat="false" ht="15" hidden="false" customHeight="false" outlineLevel="0" collapsed="false">
      <c r="B30" s="82" t="s">
        <v>525</v>
      </c>
      <c r="F30" s="81" t="s">
        <v>520</v>
      </c>
      <c r="K30" s="81" t="n">
        <v>3</v>
      </c>
      <c r="N30" s="113" t="s">
        <v>526</v>
      </c>
      <c r="O30" s="81" t="n">
        <v>24</v>
      </c>
      <c r="P30" s="81" t="n">
        <v>10</v>
      </c>
      <c r="Q30" s="81" t="s">
        <v>409</v>
      </c>
      <c r="R30" s="81" t="s">
        <v>534</v>
      </c>
      <c r="S30" s="109" t="n">
        <v>45592.6156717477</v>
      </c>
      <c r="T30" s="54" t="n">
        <v>3</v>
      </c>
    </row>
    <row r="31" customFormat="false" ht="63.6" hidden="false" customHeight="false" outlineLevel="0" collapsed="false">
      <c r="B31" s="82" t="s">
        <v>525</v>
      </c>
      <c r="D31" s="81" t="s">
        <v>530</v>
      </c>
      <c r="I31" s="81" t="s">
        <v>530</v>
      </c>
      <c r="J31" s="106" t="s">
        <v>532</v>
      </c>
      <c r="L31" s="82" t="s">
        <v>520</v>
      </c>
      <c r="N31" s="111" t="s">
        <v>522</v>
      </c>
      <c r="O31" s="81" t="n">
        <v>25</v>
      </c>
      <c r="P31" s="81" t="n">
        <v>7</v>
      </c>
      <c r="Q31" s="81" t="s">
        <v>409</v>
      </c>
      <c r="R31" s="81" t="s">
        <v>389</v>
      </c>
      <c r="S31" s="109" t="n">
        <v>45592.6156717477</v>
      </c>
      <c r="T31" s="112" t="s">
        <v>692</v>
      </c>
    </row>
    <row r="32" customFormat="false" ht="15" hidden="false" customHeight="false" outlineLevel="0" collapsed="false">
      <c r="B32" s="82" t="s">
        <v>525</v>
      </c>
      <c r="F32" s="81" t="s">
        <v>530</v>
      </c>
      <c r="K32" s="81" t="n">
        <v>3</v>
      </c>
      <c r="N32" s="113" t="s">
        <v>526</v>
      </c>
      <c r="O32" s="81" t="n">
        <v>26</v>
      </c>
      <c r="P32" s="81" t="n">
        <v>7</v>
      </c>
      <c r="Q32" s="81" t="s">
        <v>409</v>
      </c>
      <c r="R32" s="81" t="s">
        <v>389</v>
      </c>
      <c r="S32" s="109" t="n">
        <v>45592.6161609838</v>
      </c>
      <c r="T32" s="54" t="n">
        <v>2</v>
      </c>
    </row>
    <row r="33" customFormat="false" ht="15" hidden="false" customHeight="false" outlineLevel="0" collapsed="false">
      <c r="B33" s="82" t="s">
        <v>525</v>
      </c>
      <c r="D33" s="81" t="s">
        <v>520</v>
      </c>
      <c r="G33" s="81" t="s">
        <v>520</v>
      </c>
      <c r="I33" s="81" t="s">
        <v>520</v>
      </c>
      <c r="L33" s="82" t="s">
        <v>520</v>
      </c>
      <c r="N33" s="111" t="s">
        <v>522</v>
      </c>
      <c r="O33" s="81" t="n">
        <v>27</v>
      </c>
      <c r="P33" s="81" t="n">
        <v>7</v>
      </c>
      <c r="Q33" s="81" t="s">
        <v>409</v>
      </c>
      <c r="R33" s="81" t="s">
        <v>389</v>
      </c>
      <c r="S33" s="109" t="n">
        <v>45592.6161609838</v>
      </c>
      <c r="T33" s="112" t="s">
        <v>693</v>
      </c>
    </row>
    <row r="34" customFormat="false" ht="15" hidden="false" customHeight="false" outlineLevel="0" collapsed="false">
      <c r="B34" s="82" t="s">
        <v>687</v>
      </c>
      <c r="C34" s="81" t="s">
        <v>520</v>
      </c>
      <c r="F34" s="81" t="s">
        <v>520</v>
      </c>
      <c r="K34" s="81" t="n">
        <v>3</v>
      </c>
      <c r="N34" s="113" t="s">
        <v>526</v>
      </c>
      <c r="O34" s="81" t="n">
        <v>28</v>
      </c>
      <c r="P34" s="81" t="n">
        <v>7</v>
      </c>
      <c r="Q34" s="81" t="s">
        <v>409</v>
      </c>
      <c r="R34" s="81" t="s">
        <v>389</v>
      </c>
      <c r="S34" s="109" t="n">
        <v>45592.616932662</v>
      </c>
      <c r="T34" s="54" t="s">
        <v>694</v>
      </c>
    </row>
    <row r="35" customFormat="false" ht="76.1" hidden="false" customHeight="false" outlineLevel="0" collapsed="false">
      <c r="B35" s="82" t="s">
        <v>525</v>
      </c>
      <c r="C35" s="81" t="s">
        <v>530</v>
      </c>
      <c r="D35" s="81" t="s">
        <v>520</v>
      </c>
      <c r="I35" s="81" t="s">
        <v>530</v>
      </c>
      <c r="J35" s="106" t="s">
        <v>532</v>
      </c>
      <c r="L35" s="82" t="s">
        <v>520</v>
      </c>
      <c r="N35" s="111" t="s">
        <v>522</v>
      </c>
      <c r="O35" s="81" t="n">
        <v>29</v>
      </c>
      <c r="P35" s="81" t="n">
        <v>7</v>
      </c>
      <c r="Q35" s="81" t="s">
        <v>409</v>
      </c>
      <c r="R35" s="81" t="s">
        <v>534</v>
      </c>
      <c r="S35" s="109" t="n">
        <v>45592.616932662</v>
      </c>
      <c r="T35" s="112" t="s">
        <v>695</v>
      </c>
    </row>
    <row r="36" customFormat="false" ht="15" hidden="false" customHeight="false" outlineLevel="0" collapsed="false">
      <c r="B36" s="82" t="s">
        <v>525</v>
      </c>
      <c r="F36" s="81" t="s">
        <v>520</v>
      </c>
      <c r="K36" s="81" t="n">
        <v>3</v>
      </c>
      <c r="N36" s="113" t="s">
        <v>526</v>
      </c>
      <c r="O36" s="81" t="n">
        <v>30</v>
      </c>
      <c r="P36" s="81" t="n">
        <v>7</v>
      </c>
      <c r="Q36" s="81" t="s">
        <v>409</v>
      </c>
      <c r="R36" s="81" t="s">
        <v>534</v>
      </c>
      <c r="S36" s="109" t="n">
        <v>45592.6179965741</v>
      </c>
      <c r="T36" s="54" t="n">
        <v>2</v>
      </c>
    </row>
    <row r="37" customFormat="false" ht="63.6" hidden="false" customHeight="false" outlineLevel="0" collapsed="false">
      <c r="B37" s="82" t="s">
        <v>525</v>
      </c>
      <c r="D37" s="81" t="s">
        <v>530</v>
      </c>
      <c r="E37" s="82" t="s">
        <v>681</v>
      </c>
      <c r="I37" s="81" t="s">
        <v>530</v>
      </c>
      <c r="J37" s="106" t="s">
        <v>532</v>
      </c>
      <c r="L37" s="82" t="s">
        <v>520</v>
      </c>
      <c r="N37" s="111" t="s">
        <v>522</v>
      </c>
      <c r="O37" s="81" t="n">
        <v>31</v>
      </c>
      <c r="P37" s="81" t="n">
        <v>9</v>
      </c>
      <c r="Q37" s="81" t="s">
        <v>409</v>
      </c>
      <c r="R37" s="81" t="s">
        <v>389</v>
      </c>
      <c r="S37" s="109" t="n">
        <v>45592.6179965741</v>
      </c>
      <c r="T37" s="112" t="s">
        <v>696</v>
      </c>
    </row>
    <row r="38" customFormat="false" ht="15" hidden="false" customHeight="false" outlineLevel="0" collapsed="false">
      <c r="B38" s="82" t="s">
        <v>525</v>
      </c>
      <c r="F38" s="81" t="s">
        <v>530</v>
      </c>
      <c r="K38" s="81" t="n">
        <v>3</v>
      </c>
      <c r="N38" s="113" t="s">
        <v>526</v>
      </c>
      <c r="O38" s="81" t="n">
        <v>32</v>
      </c>
      <c r="P38" s="81" t="n">
        <v>9</v>
      </c>
      <c r="Q38" s="81" t="s">
        <v>409</v>
      </c>
      <c r="R38" s="81" t="s">
        <v>389</v>
      </c>
      <c r="S38" s="109" t="n">
        <v>45592.6191196181</v>
      </c>
      <c r="T38" s="54" t="n">
        <v>4</v>
      </c>
    </row>
    <row r="39" customFormat="false" ht="15" hidden="false" customHeight="false" outlineLevel="0" collapsed="false">
      <c r="B39" s="82" t="s">
        <v>525</v>
      </c>
      <c r="D39" s="81" t="s">
        <v>530</v>
      </c>
      <c r="G39" s="81" t="s">
        <v>520</v>
      </c>
      <c r="I39" s="81" t="s">
        <v>520</v>
      </c>
      <c r="L39" s="82" t="s">
        <v>520</v>
      </c>
      <c r="N39" s="111" t="s">
        <v>522</v>
      </c>
      <c r="O39" s="81" t="n">
        <v>33</v>
      </c>
      <c r="P39" s="81" t="n">
        <v>9</v>
      </c>
      <c r="Q39" s="81" t="s">
        <v>409</v>
      </c>
      <c r="R39" s="81" t="s">
        <v>389</v>
      </c>
      <c r="S39" s="109" t="n">
        <v>45592.6191196181</v>
      </c>
      <c r="T39" s="112" t="s">
        <v>697</v>
      </c>
    </row>
    <row r="40" customFormat="false" ht="15" hidden="false" customHeight="false" outlineLevel="0" collapsed="false">
      <c r="B40" s="82" t="s">
        <v>403</v>
      </c>
      <c r="C40" s="81" t="s">
        <v>520</v>
      </c>
      <c r="F40" s="81" t="s">
        <v>520</v>
      </c>
      <c r="K40" s="81" t="n">
        <v>3</v>
      </c>
      <c r="N40" s="113" t="s">
        <v>526</v>
      </c>
      <c r="O40" s="81" t="n">
        <v>34</v>
      </c>
      <c r="P40" s="81" t="n">
        <v>9</v>
      </c>
      <c r="Q40" s="81" t="s">
        <v>409</v>
      </c>
      <c r="R40" s="81" t="s">
        <v>389</v>
      </c>
      <c r="S40" s="109" t="n">
        <v>45592.6206024653</v>
      </c>
      <c r="T40" s="106" t="s">
        <v>698</v>
      </c>
    </row>
    <row r="41" customFormat="false" ht="63.6" hidden="false" customHeight="false" outlineLevel="0" collapsed="false">
      <c r="C41" s="81" t="s">
        <v>530</v>
      </c>
      <c r="D41" s="81" t="s">
        <v>520</v>
      </c>
      <c r="I41" s="81" t="s">
        <v>530</v>
      </c>
      <c r="J41" s="106" t="s">
        <v>532</v>
      </c>
      <c r="L41" s="82" t="s">
        <v>520</v>
      </c>
      <c r="N41" s="111" t="s">
        <v>522</v>
      </c>
      <c r="O41" s="81" t="n">
        <v>35</v>
      </c>
      <c r="P41" s="81" t="n">
        <v>9</v>
      </c>
      <c r="Q41" s="81" t="s">
        <v>403</v>
      </c>
      <c r="R41" s="81" t="s">
        <v>534</v>
      </c>
      <c r="S41" s="109" t="n">
        <v>45592.6206024653</v>
      </c>
      <c r="T41" s="114" t="s">
        <v>699</v>
      </c>
    </row>
    <row r="42" customFormat="false" ht="15" hidden="false" customHeight="false" outlineLevel="0" collapsed="false">
      <c r="C42" s="81" t="s">
        <v>530</v>
      </c>
      <c r="F42" s="81" t="s">
        <v>520</v>
      </c>
      <c r="K42" s="81" t="n">
        <v>3</v>
      </c>
      <c r="N42" s="113" t="s">
        <v>526</v>
      </c>
      <c r="O42" s="81" t="n">
        <v>36</v>
      </c>
      <c r="P42" s="81" t="n">
        <v>9</v>
      </c>
      <c r="Q42" s="81" t="s">
        <v>403</v>
      </c>
      <c r="R42" s="81" t="s">
        <v>534</v>
      </c>
      <c r="S42" s="109" t="n">
        <v>45592.6210357523</v>
      </c>
      <c r="T42" s="115" t="n">
        <v>4</v>
      </c>
    </row>
    <row r="43" customFormat="false" ht="63.6" hidden="false" customHeight="false" outlineLevel="0" collapsed="false">
      <c r="D43" s="81" t="s">
        <v>520</v>
      </c>
      <c r="I43" s="81" t="s">
        <v>530</v>
      </c>
      <c r="J43" s="106" t="s">
        <v>532</v>
      </c>
      <c r="L43" s="82" t="s">
        <v>520</v>
      </c>
      <c r="N43" s="111" t="s">
        <v>522</v>
      </c>
      <c r="O43" s="81" t="n">
        <v>37</v>
      </c>
      <c r="P43" s="81" t="n">
        <v>9</v>
      </c>
      <c r="Q43" s="81" t="s">
        <v>404</v>
      </c>
      <c r="R43" s="81" t="s">
        <v>534</v>
      </c>
      <c r="S43" s="109" t="n">
        <v>45592.6210357523</v>
      </c>
      <c r="T43" s="112" t="s">
        <v>700</v>
      </c>
    </row>
    <row r="44" customFormat="false" ht="15" hidden="false" customHeight="false" outlineLevel="0" collapsed="false">
      <c r="F44" s="81" t="s">
        <v>520</v>
      </c>
      <c r="K44" s="81" t="n">
        <v>3</v>
      </c>
      <c r="N44" s="113" t="s">
        <v>526</v>
      </c>
      <c r="O44" s="81" t="n">
        <v>38</v>
      </c>
      <c r="P44" s="81" t="n">
        <v>9</v>
      </c>
      <c r="Q44" s="81" t="s">
        <v>404</v>
      </c>
      <c r="R44" s="81" t="s">
        <v>534</v>
      </c>
      <c r="S44" s="109" t="n">
        <v>45592.623295706</v>
      </c>
      <c r="T44" s="115" t="n">
        <v>4</v>
      </c>
    </row>
    <row r="45" customFormat="false" ht="76.1" hidden="false" customHeight="false" outlineLevel="0" collapsed="false">
      <c r="D45" s="81" t="s">
        <v>520</v>
      </c>
      <c r="I45" s="81" t="s">
        <v>530</v>
      </c>
      <c r="J45" s="106" t="s">
        <v>532</v>
      </c>
      <c r="L45" s="82" t="s">
        <v>520</v>
      </c>
      <c r="N45" s="111" t="s">
        <v>522</v>
      </c>
      <c r="O45" s="81" t="n">
        <v>39</v>
      </c>
      <c r="P45" s="81" t="n">
        <v>9</v>
      </c>
      <c r="Q45" s="81" t="s">
        <v>409</v>
      </c>
      <c r="R45" s="81" t="s">
        <v>534</v>
      </c>
      <c r="S45" s="109" t="n">
        <v>45592.623295706</v>
      </c>
      <c r="T45" s="112" t="s">
        <v>701</v>
      </c>
    </row>
    <row r="46" customFormat="false" ht="15" hidden="false" customHeight="false" outlineLevel="0" collapsed="false">
      <c r="F46" s="81" t="s">
        <v>520</v>
      </c>
      <c r="K46" s="81" t="n">
        <v>3</v>
      </c>
      <c r="N46" s="113" t="s">
        <v>526</v>
      </c>
      <c r="O46" s="81" t="n">
        <v>40</v>
      </c>
      <c r="P46" s="81" t="n">
        <v>9</v>
      </c>
      <c r="Q46" s="81" t="s">
        <v>409</v>
      </c>
      <c r="R46" s="81" t="s">
        <v>534</v>
      </c>
      <c r="S46" s="109" t="n">
        <v>45592.6241688079</v>
      </c>
      <c r="T46" s="115" t="n">
        <v>2</v>
      </c>
    </row>
    <row r="47" customFormat="false" ht="26.1" hidden="false" customHeight="false" outlineLevel="0" collapsed="false">
      <c r="D47" s="81" t="s">
        <v>530</v>
      </c>
      <c r="E47" s="82" t="s">
        <v>702</v>
      </c>
      <c r="I47" s="81" t="s">
        <v>520</v>
      </c>
      <c r="L47" s="82" t="s">
        <v>520</v>
      </c>
      <c r="N47" s="111" t="s">
        <v>522</v>
      </c>
      <c r="O47" s="81" t="n">
        <v>41</v>
      </c>
      <c r="P47" s="81" t="n">
        <v>9</v>
      </c>
      <c r="Q47" s="81" t="s">
        <v>409</v>
      </c>
      <c r="R47" s="81" t="s">
        <v>534</v>
      </c>
      <c r="S47" s="109" t="n">
        <v>45592.6241688079</v>
      </c>
      <c r="T47" s="116" t="s">
        <v>703</v>
      </c>
    </row>
    <row r="48" customFormat="false" ht="15" hidden="false" customHeight="false" outlineLevel="0" collapsed="false">
      <c r="F48" s="81" t="s">
        <v>530</v>
      </c>
      <c r="K48" s="81" t="n">
        <v>3</v>
      </c>
      <c r="N48" s="113" t="s">
        <v>526</v>
      </c>
      <c r="O48" s="81" t="n">
        <v>42</v>
      </c>
      <c r="P48" s="81" t="n">
        <v>9</v>
      </c>
      <c r="Q48" s="81" t="s">
        <v>409</v>
      </c>
      <c r="R48" s="81" t="s">
        <v>534</v>
      </c>
      <c r="S48" s="109" t="n">
        <v>45592.6247559954</v>
      </c>
      <c r="T48" s="115" t="s">
        <v>704</v>
      </c>
    </row>
    <row r="49" customFormat="false" ht="51.1" hidden="false" customHeight="false" outlineLevel="0" collapsed="false">
      <c r="D49" s="81" t="s">
        <v>530</v>
      </c>
      <c r="G49" s="81" t="s">
        <v>530</v>
      </c>
      <c r="I49" s="81" t="s">
        <v>520</v>
      </c>
      <c r="L49" s="82" t="s">
        <v>520</v>
      </c>
      <c r="N49" s="111" t="s">
        <v>522</v>
      </c>
      <c r="O49" s="81" t="n">
        <v>43</v>
      </c>
      <c r="P49" s="81" t="n">
        <v>11</v>
      </c>
      <c r="Q49" s="81" t="s">
        <v>409</v>
      </c>
      <c r="R49" s="81" t="s">
        <v>389</v>
      </c>
      <c r="S49" s="109" t="n">
        <v>45592.6247559954</v>
      </c>
      <c r="T49" s="112" t="s">
        <v>705</v>
      </c>
    </row>
    <row r="50" customFormat="false" ht="15" hidden="false" customHeight="false" outlineLevel="0" collapsed="false">
      <c r="F50" s="81" t="s">
        <v>530</v>
      </c>
      <c r="K50" s="81" t="n">
        <v>3</v>
      </c>
      <c r="N50" s="113" t="s">
        <v>526</v>
      </c>
      <c r="O50" s="81" t="n">
        <v>44</v>
      </c>
      <c r="P50" s="81" t="n">
        <v>11</v>
      </c>
      <c r="Q50" s="81" t="s">
        <v>409</v>
      </c>
      <c r="R50" s="81" t="s">
        <v>389</v>
      </c>
      <c r="S50" s="109" t="n">
        <v>45592.6253287037</v>
      </c>
      <c r="T50" s="115" t="n">
        <v>2</v>
      </c>
    </row>
    <row r="51" customFormat="false" ht="26.1" hidden="false" customHeight="false" outlineLevel="0" collapsed="false">
      <c r="D51" s="81" t="s">
        <v>530</v>
      </c>
      <c r="E51" s="82" t="s">
        <v>681</v>
      </c>
      <c r="G51" s="81" t="s">
        <v>530</v>
      </c>
      <c r="I51" s="81" t="s">
        <v>520</v>
      </c>
      <c r="L51" s="82" t="s">
        <v>520</v>
      </c>
      <c r="N51" s="111" t="s">
        <v>522</v>
      </c>
      <c r="O51" s="81" t="n">
        <v>45</v>
      </c>
      <c r="P51" s="81" t="n">
        <v>11</v>
      </c>
      <c r="Q51" s="81" t="s">
        <v>409</v>
      </c>
      <c r="R51" s="81" t="s">
        <v>389</v>
      </c>
      <c r="S51" s="109" t="n">
        <v>45592.6253287037</v>
      </c>
      <c r="T51" s="112" t="s">
        <v>706</v>
      </c>
    </row>
    <row r="52" customFormat="false" ht="15" hidden="false" customHeight="false" outlineLevel="0" collapsed="false">
      <c r="B52" s="82" t="s">
        <v>409</v>
      </c>
      <c r="C52" s="81" t="s">
        <v>520</v>
      </c>
      <c r="F52" s="81" t="s">
        <v>520</v>
      </c>
      <c r="K52" s="81" t="n">
        <v>3</v>
      </c>
      <c r="N52" s="113" t="s">
        <v>526</v>
      </c>
      <c r="O52" s="81" t="n">
        <v>46</v>
      </c>
      <c r="P52" s="81" t="n">
        <v>11</v>
      </c>
      <c r="Q52" s="81" t="s">
        <v>409</v>
      </c>
      <c r="R52" s="81" t="s">
        <v>389</v>
      </c>
      <c r="S52" s="109" t="n">
        <v>45592.6258078125</v>
      </c>
      <c r="T52" s="115" t="s">
        <v>707</v>
      </c>
    </row>
    <row r="53" customFormat="false" ht="63.6" hidden="false" customHeight="false" outlineLevel="0" collapsed="false">
      <c r="D53" s="81" t="s">
        <v>520</v>
      </c>
      <c r="I53" s="81" t="s">
        <v>520</v>
      </c>
      <c r="L53" s="82" t="s">
        <v>520</v>
      </c>
      <c r="N53" s="111" t="s">
        <v>522</v>
      </c>
      <c r="O53" s="81" t="n">
        <v>47</v>
      </c>
      <c r="P53" s="81" t="n">
        <v>11</v>
      </c>
      <c r="Q53" s="81" t="s">
        <v>409</v>
      </c>
      <c r="R53" s="81" t="s">
        <v>534</v>
      </c>
      <c r="S53" s="109" t="n">
        <v>45592.6258078125</v>
      </c>
      <c r="T53" s="112" t="s">
        <v>708</v>
      </c>
    </row>
    <row r="54" customFormat="false" ht="15" hidden="false" customHeight="false" outlineLevel="0" collapsed="false">
      <c r="F54" s="81" t="s">
        <v>520</v>
      </c>
      <c r="K54" s="81" t="n">
        <v>3</v>
      </c>
      <c r="N54" s="113" t="s">
        <v>526</v>
      </c>
      <c r="O54" s="81" t="n">
        <v>48</v>
      </c>
      <c r="P54" s="81" t="n">
        <v>11</v>
      </c>
      <c r="Q54" s="81" t="s">
        <v>409</v>
      </c>
      <c r="R54" s="81" t="s">
        <v>534</v>
      </c>
      <c r="S54" s="109" t="n">
        <v>45592.6263617824</v>
      </c>
      <c r="T54" s="115" t="n">
        <v>3</v>
      </c>
    </row>
    <row r="55" customFormat="false" ht="63.6" hidden="false" customHeight="false" outlineLevel="0" collapsed="false">
      <c r="D55" s="81" t="s">
        <v>530</v>
      </c>
      <c r="E55" s="82" t="s">
        <v>681</v>
      </c>
      <c r="I55" s="81" t="s">
        <v>530</v>
      </c>
      <c r="J55" s="106" t="s">
        <v>532</v>
      </c>
      <c r="L55" s="82" t="s">
        <v>520</v>
      </c>
      <c r="N55" s="111" t="s">
        <v>522</v>
      </c>
      <c r="O55" s="81" t="n">
        <v>49</v>
      </c>
      <c r="P55" s="81" t="n">
        <v>8</v>
      </c>
      <c r="Q55" s="81" t="s">
        <v>409</v>
      </c>
      <c r="R55" s="81" t="s">
        <v>389</v>
      </c>
      <c r="S55" s="109" t="n">
        <v>45592.6263617824</v>
      </c>
      <c r="T55" s="112" t="s">
        <v>709</v>
      </c>
    </row>
    <row r="56" customFormat="false" ht="15" hidden="false" customHeight="false" outlineLevel="0" collapsed="false">
      <c r="F56" s="81" t="s">
        <v>530</v>
      </c>
      <c r="K56" s="81" t="n">
        <v>3</v>
      </c>
      <c r="N56" s="113" t="s">
        <v>526</v>
      </c>
      <c r="O56" s="81" t="n">
        <v>50</v>
      </c>
      <c r="P56" s="81" t="n">
        <v>8</v>
      </c>
      <c r="Q56" s="81" t="s">
        <v>409</v>
      </c>
      <c r="R56" s="81" t="s">
        <v>389</v>
      </c>
      <c r="S56" s="109" t="n">
        <v>45592.6269347222</v>
      </c>
      <c r="T56" s="115" t="n">
        <v>3</v>
      </c>
    </row>
    <row r="57" customFormat="false" ht="51.1" hidden="false" customHeight="false" outlineLevel="0" collapsed="false">
      <c r="D57" s="81" t="s">
        <v>530</v>
      </c>
      <c r="G57" s="81" t="s">
        <v>530</v>
      </c>
      <c r="I57" s="81" t="s">
        <v>530</v>
      </c>
      <c r="J57" s="106" t="s">
        <v>532</v>
      </c>
      <c r="L57" s="82" t="s">
        <v>520</v>
      </c>
      <c r="N57" s="111" t="s">
        <v>522</v>
      </c>
      <c r="O57" s="81" t="n">
        <v>51</v>
      </c>
      <c r="P57" s="81" t="n">
        <v>8</v>
      </c>
      <c r="Q57" s="81" t="s">
        <v>409</v>
      </c>
      <c r="R57" s="81" t="s">
        <v>389</v>
      </c>
      <c r="S57" s="109" t="n">
        <v>45592.6269347222</v>
      </c>
      <c r="T57" s="114" t="s">
        <v>710</v>
      </c>
    </row>
    <row r="58" customFormat="false" ht="15" hidden="false" customHeight="false" outlineLevel="0" collapsed="false">
      <c r="F58" s="81" t="s">
        <v>530</v>
      </c>
      <c r="K58" s="81" t="n">
        <v>2</v>
      </c>
      <c r="N58" s="113" t="s">
        <v>526</v>
      </c>
      <c r="O58" s="81" t="n">
        <v>52</v>
      </c>
      <c r="P58" s="81" t="n">
        <v>8</v>
      </c>
      <c r="Q58" s="81" t="s">
        <v>409</v>
      </c>
      <c r="R58" s="81" t="s">
        <v>389</v>
      </c>
      <c r="S58" s="109" t="n">
        <v>45592.6278798032</v>
      </c>
      <c r="T58" s="106" t="s">
        <v>126</v>
      </c>
    </row>
    <row r="59" customFormat="false" ht="15" hidden="false" customHeight="false" outlineLevel="0" collapsed="false">
      <c r="D59" s="81" t="s">
        <v>530</v>
      </c>
      <c r="G59" s="81" t="s">
        <v>530</v>
      </c>
      <c r="I59" s="81" t="s">
        <v>520</v>
      </c>
      <c r="L59" s="82" t="s">
        <v>530</v>
      </c>
      <c r="N59" s="111" t="s">
        <v>522</v>
      </c>
      <c r="O59" s="81" t="n">
        <v>53</v>
      </c>
      <c r="P59" s="81" t="n">
        <v>8</v>
      </c>
      <c r="Q59" s="81" t="s">
        <v>409</v>
      </c>
      <c r="R59" s="81" t="s">
        <v>389</v>
      </c>
      <c r="S59" s="109" t="n">
        <v>45592.6278798032</v>
      </c>
      <c r="T59" s="114" t="s">
        <v>711</v>
      </c>
    </row>
    <row r="60" customFormat="false" ht="15" hidden="false" customHeight="false" outlineLevel="0" collapsed="false">
      <c r="F60" s="81" t="s">
        <v>530</v>
      </c>
      <c r="K60" s="81" t="n">
        <v>3</v>
      </c>
      <c r="N60" s="113" t="s">
        <v>526</v>
      </c>
      <c r="O60" s="81" t="n">
        <v>54</v>
      </c>
      <c r="P60" s="81" t="n">
        <v>8</v>
      </c>
      <c r="Q60" s="81" t="s">
        <v>409</v>
      </c>
      <c r="R60" s="81" t="s">
        <v>389</v>
      </c>
      <c r="S60" s="109" t="n">
        <v>45592.6282548843</v>
      </c>
      <c r="T60" s="106" t="s">
        <v>712</v>
      </c>
    </row>
    <row r="61" customFormat="false" ht="15" hidden="false" customHeight="false" outlineLevel="0" collapsed="false">
      <c r="D61" s="81" t="s">
        <v>530</v>
      </c>
      <c r="G61" s="81" t="s">
        <v>530</v>
      </c>
      <c r="I61" s="81" t="s">
        <v>520</v>
      </c>
      <c r="L61" s="82" t="s">
        <v>520</v>
      </c>
      <c r="N61" s="111" t="s">
        <v>522</v>
      </c>
      <c r="O61" s="81" t="n">
        <v>55</v>
      </c>
      <c r="P61" s="81" t="n">
        <v>8</v>
      </c>
      <c r="Q61" s="81" t="s">
        <v>409</v>
      </c>
      <c r="R61" s="81" t="s">
        <v>389</v>
      </c>
      <c r="S61" s="109" t="n">
        <v>45592.6282548843</v>
      </c>
      <c r="T61" s="114" t="s">
        <v>713</v>
      </c>
    </row>
    <row r="62" customFormat="false" ht="26.1" hidden="false" customHeight="false" outlineLevel="0" collapsed="false">
      <c r="B62" s="82" t="s">
        <v>714</v>
      </c>
      <c r="C62" s="81" t="s">
        <v>530</v>
      </c>
      <c r="F62" s="81" t="s">
        <v>520</v>
      </c>
      <c r="K62" s="81" t="n">
        <v>3</v>
      </c>
      <c r="N62" s="113" t="s">
        <v>526</v>
      </c>
      <c r="O62" s="81" t="n">
        <v>56</v>
      </c>
      <c r="P62" s="81" t="n">
        <v>8</v>
      </c>
      <c r="Q62" s="81" t="s">
        <v>409</v>
      </c>
      <c r="R62" s="81" t="s">
        <v>389</v>
      </c>
      <c r="S62" s="109" t="n">
        <v>45592.6293448264</v>
      </c>
      <c r="T62" s="117" t="s">
        <v>715</v>
      </c>
    </row>
    <row r="63" customFormat="false" ht="63.6" hidden="false" customHeight="false" outlineLevel="0" collapsed="false">
      <c r="C63" s="81" t="s">
        <v>520</v>
      </c>
      <c r="D63" s="81" t="s">
        <v>520</v>
      </c>
      <c r="I63" s="81" t="s">
        <v>530</v>
      </c>
      <c r="J63" s="106" t="s">
        <v>532</v>
      </c>
      <c r="L63" s="82" t="s">
        <v>520</v>
      </c>
      <c r="N63" s="111" t="s">
        <v>522</v>
      </c>
      <c r="O63" s="81" t="n">
        <v>57</v>
      </c>
      <c r="P63" s="81" t="n">
        <v>8</v>
      </c>
      <c r="Q63" s="81" t="s">
        <v>409</v>
      </c>
      <c r="R63" s="81" t="s">
        <v>534</v>
      </c>
      <c r="S63" s="109" t="n">
        <v>45592.6293448264</v>
      </c>
      <c r="T63" s="114" t="s">
        <v>716</v>
      </c>
    </row>
    <row r="64" customFormat="false" ht="15" hidden="false" customHeight="false" outlineLevel="0" collapsed="false">
      <c r="C64" s="81" t="s">
        <v>530</v>
      </c>
      <c r="F64" s="81" t="s">
        <v>520</v>
      </c>
      <c r="K64" s="81" t="n">
        <v>3</v>
      </c>
      <c r="N64" s="113" t="s">
        <v>526</v>
      </c>
      <c r="O64" s="81" t="n">
        <v>58</v>
      </c>
      <c r="P64" s="81" t="n">
        <v>8</v>
      </c>
      <c r="Q64" s="81" t="s">
        <v>409</v>
      </c>
      <c r="R64" s="81" t="s">
        <v>534</v>
      </c>
      <c r="S64" s="109" t="n">
        <v>45592.6303800463</v>
      </c>
      <c r="T64" s="54" t="n">
        <v>3</v>
      </c>
    </row>
    <row r="65" customFormat="false" ht="63.6" hidden="false" customHeight="false" outlineLevel="0" collapsed="false">
      <c r="D65" s="81" t="s">
        <v>520</v>
      </c>
      <c r="I65" s="81" t="s">
        <v>530</v>
      </c>
      <c r="J65" s="106" t="s">
        <v>532</v>
      </c>
      <c r="L65" s="82" t="s">
        <v>520</v>
      </c>
      <c r="N65" s="111" t="s">
        <v>522</v>
      </c>
      <c r="O65" s="81" t="n">
        <v>59</v>
      </c>
      <c r="P65" s="81" t="n">
        <v>8</v>
      </c>
      <c r="Q65" s="81" t="s">
        <v>405</v>
      </c>
      <c r="R65" s="81" t="s">
        <v>534</v>
      </c>
      <c r="S65" s="109" t="n">
        <v>45592.6303800463</v>
      </c>
      <c r="T65" s="112" t="s">
        <v>717</v>
      </c>
    </row>
    <row r="66" customFormat="false" ht="15" hidden="false" customHeight="false" outlineLevel="0" collapsed="false">
      <c r="F66" s="81" t="s">
        <v>520</v>
      </c>
      <c r="K66" s="81" t="n">
        <v>3</v>
      </c>
      <c r="N66" s="113" t="s">
        <v>526</v>
      </c>
      <c r="O66" s="81" t="n">
        <v>60</v>
      </c>
      <c r="P66" s="81" t="n">
        <v>8</v>
      </c>
      <c r="Q66" s="81" t="s">
        <v>405</v>
      </c>
      <c r="R66" s="81" t="s">
        <v>534</v>
      </c>
      <c r="S66" s="109" t="n">
        <v>45592.6310291782</v>
      </c>
      <c r="T66" s="54" t="s">
        <v>718</v>
      </c>
    </row>
    <row r="67" customFormat="false" ht="26.1" hidden="false" customHeight="false" outlineLevel="0" collapsed="false">
      <c r="D67" s="81" t="s">
        <v>530</v>
      </c>
      <c r="E67" s="82" t="s">
        <v>719</v>
      </c>
      <c r="I67" s="81" t="s">
        <v>520</v>
      </c>
      <c r="L67" s="82" t="s">
        <v>520</v>
      </c>
      <c r="N67" s="111" t="s">
        <v>522</v>
      </c>
      <c r="O67" s="81" t="n">
        <v>61</v>
      </c>
      <c r="P67" s="81" t="n">
        <v>8</v>
      </c>
      <c r="Q67" s="81" t="s">
        <v>405</v>
      </c>
      <c r="R67" s="81" t="s">
        <v>534</v>
      </c>
      <c r="S67" s="109" t="n">
        <v>45592.6310291782</v>
      </c>
      <c r="T67" s="112" t="s">
        <v>720</v>
      </c>
    </row>
    <row r="68" customFormat="false" ht="15" hidden="false" customHeight="false" outlineLevel="0" collapsed="false">
      <c r="F68" s="81" t="s">
        <v>530</v>
      </c>
      <c r="K68" s="81" t="n">
        <v>3</v>
      </c>
      <c r="N68" s="113" t="s">
        <v>526</v>
      </c>
      <c r="O68" s="81" t="n">
        <v>62</v>
      </c>
      <c r="P68" s="81" t="n">
        <v>8</v>
      </c>
      <c r="Q68" s="81" t="s">
        <v>405</v>
      </c>
      <c r="R68" s="81" t="s">
        <v>534</v>
      </c>
      <c r="S68" s="109" t="n">
        <v>45592.6319068287</v>
      </c>
      <c r="T68" s="54" t="s">
        <v>721</v>
      </c>
    </row>
    <row r="69" customFormat="false" ht="101.1" hidden="false" customHeight="false" outlineLevel="0" collapsed="false">
      <c r="D69" s="81" t="s">
        <v>530</v>
      </c>
      <c r="E69" s="82" t="s">
        <v>722</v>
      </c>
      <c r="G69" s="81" t="s">
        <v>530</v>
      </c>
      <c r="I69" s="81" t="s">
        <v>530</v>
      </c>
      <c r="J69" s="106" t="s">
        <v>532</v>
      </c>
      <c r="L69" s="82" t="s">
        <v>520</v>
      </c>
      <c r="N69" s="111" t="s">
        <v>522</v>
      </c>
      <c r="O69" s="81" t="n">
        <v>63</v>
      </c>
      <c r="Q69" s="81" t="s">
        <v>405</v>
      </c>
      <c r="R69" s="81" t="s">
        <v>585</v>
      </c>
      <c r="S69" s="109" t="n">
        <v>45592.6319068287</v>
      </c>
      <c r="T69" s="112" t="s">
        <v>723</v>
      </c>
    </row>
    <row r="70" customFormat="false" ht="15" hidden="false" customHeight="false" outlineLevel="0" collapsed="false">
      <c r="F70" s="81" t="s">
        <v>530</v>
      </c>
      <c r="K70" s="81" t="n">
        <v>3</v>
      </c>
      <c r="N70" s="113" t="s">
        <v>526</v>
      </c>
      <c r="O70" s="81" t="n">
        <v>64</v>
      </c>
      <c r="P70" s="81" t="n">
        <v>8</v>
      </c>
      <c r="Q70" s="81" t="s">
        <v>405</v>
      </c>
      <c r="R70" s="81" t="s">
        <v>585</v>
      </c>
      <c r="S70" s="109" t="n">
        <v>45592.6327241551</v>
      </c>
      <c r="T70" s="54" t="n">
        <v>1</v>
      </c>
    </row>
    <row r="71" customFormat="false" ht="101.1" hidden="false" customHeight="false" outlineLevel="0" collapsed="false">
      <c r="D71" s="81" t="s">
        <v>530</v>
      </c>
      <c r="G71" s="81" t="s">
        <v>530</v>
      </c>
      <c r="I71" s="81" t="s">
        <v>530</v>
      </c>
      <c r="J71" s="106" t="s">
        <v>532</v>
      </c>
      <c r="L71" s="82" t="s">
        <v>520</v>
      </c>
      <c r="N71" s="111" t="s">
        <v>522</v>
      </c>
      <c r="O71" s="81" t="n">
        <v>65</v>
      </c>
      <c r="R71" s="81" t="s">
        <v>585</v>
      </c>
      <c r="T71" s="112" t="s">
        <v>724</v>
      </c>
    </row>
    <row r="72" customFormat="false" ht="15" hidden="false" customHeight="false" outlineLevel="0" collapsed="false">
      <c r="F72" s="81" t="s">
        <v>530</v>
      </c>
      <c r="K72" s="81" t="n">
        <v>3</v>
      </c>
      <c r="N72" s="113" t="s">
        <v>526</v>
      </c>
      <c r="O72" s="81" t="n">
        <v>66</v>
      </c>
      <c r="P72" s="81" t="n">
        <v>8</v>
      </c>
      <c r="Q72" s="81" t="s">
        <v>405</v>
      </c>
      <c r="R72" s="81" t="s">
        <v>585</v>
      </c>
      <c r="S72" s="109" t="n">
        <v>45592.6333803009</v>
      </c>
      <c r="T72" s="54" t="n">
        <v>3</v>
      </c>
    </row>
    <row r="73" customFormat="false" ht="26.1" hidden="false" customHeight="false" outlineLevel="0" collapsed="false">
      <c r="D73" s="81" t="s">
        <v>530</v>
      </c>
      <c r="G73" s="81" t="s">
        <v>530</v>
      </c>
      <c r="I73" s="81" t="s">
        <v>520</v>
      </c>
      <c r="L73" s="82" t="s">
        <v>530</v>
      </c>
      <c r="N73" s="111" t="s">
        <v>522</v>
      </c>
      <c r="O73" s="81" t="n">
        <v>67</v>
      </c>
      <c r="R73" s="81" t="s">
        <v>585</v>
      </c>
      <c r="T73" s="112" t="s">
        <v>725</v>
      </c>
    </row>
    <row r="74" customFormat="false" ht="15" hidden="false" customHeight="false" outlineLevel="0" collapsed="false">
      <c r="F74" s="81" t="s">
        <v>530</v>
      </c>
      <c r="K74" s="81" t="n">
        <v>3</v>
      </c>
      <c r="N74" s="113" t="s">
        <v>526</v>
      </c>
      <c r="O74" s="81" t="n">
        <v>68</v>
      </c>
      <c r="P74" s="81" t="n">
        <v>8</v>
      </c>
      <c r="Q74" s="81" t="s">
        <v>405</v>
      </c>
      <c r="R74" s="81" t="s">
        <v>585</v>
      </c>
      <c r="S74" s="109" t="n">
        <v>45592.6341025694</v>
      </c>
      <c r="T74" s="54" t="n">
        <v>1</v>
      </c>
    </row>
    <row r="75" customFormat="false" ht="51.1" hidden="false" customHeight="false" outlineLevel="0" collapsed="false">
      <c r="D75" s="81" t="s">
        <v>530</v>
      </c>
      <c r="G75" s="81" t="s">
        <v>530</v>
      </c>
      <c r="I75" s="81" t="s">
        <v>520</v>
      </c>
      <c r="L75" s="82" t="s">
        <v>530</v>
      </c>
      <c r="N75" s="111" t="s">
        <v>522</v>
      </c>
      <c r="O75" s="81" t="n">
        <v>69</v>
      </c>
      <c r="R75" s="81" t="s">
        <v>585</v>
      </c>
      <c r="T75" s="112" t="s">
        <v>726</v>
      </c>
    </row>
    <row r="76" customFormat="false" ht="15" hidden="false" customHeight="false" outlineLevel="0" collapsed="false">
      <c r="F76" s="81" t="s">
        <v>530</v>
      </c>
      <c r="K76" s="81" t="n">
        <v>3</v>
      </c>
      <c r="N76" s="113" t="s">
        <v>526</v>
      </c>
      <c r="O76" s="81" t="n">
        <v>70</v>
      </c>
      <c r="P76" s="81" t="n">
        <v>8</v>
      </c>
      <c r="Q76" s="81" t="s">
        <v>405</v>
      </c>
      <c r="R76" s="81" t="s">
        <v>585</v>
      </c>
      <c r="S76" s="109" t="n">
        <v>45592.6347137732</v>
      </c>
      <c r="T76" s="54" t="s">
        <v>727</v>
      </c>
    </row>
    <row r="77" customFormat="false" ht="63.6" hidden="false" customHeight="false" outlineLevel="0" collapsed="false">
      <c r="D77" s="81" t="s">
        <v>530</v>
      </c>
      <c r="G77" s="81" t="s">
        <v>530</v>
      </c>
      <c r="I77" s="81" t="s">
        <v>520</v>
      </c>
      <c r="L77" s="82" t="s">
        <v>520</v>
      </c>
      <c r="N77" s="111" t="s">
        <v>522</v>
      </c>
      <c r="O77" s="81" t="n">
        <v>71</v>
      </c>
      <c r="R77" s="81" t="s">
        <v>585</v>
      </c>
      <c r="T77" s="112" t="s">
        <v>728</v>
      </c>
    </row>
    <row r="78" customFormat="false" ht="15" hidden="false" customHeight="false" outlineLevel="0" collapsed="false">
      <c r="F78" s="81" t="s">
        <v>530</v>
      </c>
      <c r="K78" s="81" t="n">
        <v>3</v>
      </c>
      <c r="N78" s="113" t="s">
        <v>526</v>
      </c>
      <c r="O78" s="81" t="n">
        <v>72</v>
      </c>
      <c r="P78" s="81" t="n">
        <v>8</v>
      </c>
      <c r="Q78" s="81" t="s">
        <v>405</v>
      </c>
      <c r="R78" s="81" t="s">
        <v>585</v>
      </c>
      <c r="S78" s="109" t="n">
        <v>45592.6349670833</v>
      </c>
      <c r="T78" s="54" t="n">
        <v>2</v>
      </c>
    </row>
    <row r="79" customFormat="false" ht="63.6" hidden="false" customHeight="false" outlineLevel="0" collapsed="false">
      <c r="D79" s="81" t="s">
        <v>530</v>
      </c>
      <c r="G79" s="81" t="s">
        <v>530</v>
      </c>
      <c r="I79" s="81" t="s">
        <v>520</v>
      </c>
      <c r="L79" s="82" t="s">
        <v>520</v>
      </c>
      <c r="N79" s="111" t="s">
        <v>522</v>
      </c>
      <c r="O79" s="81" t="n">
        <v>73</v>
      </c>
      <c r="R79" s="81" t="s">
        <v>585</v>
      </c>
      <c r="T79" s="112" t="s">
        <v>729</v>
      </c>
    </row>
    <row r="80" customFormat="false" ht="15" hidden="false" customHeight="false" outlineLevel="0" collapsed="false">
      <c r="F80" s="81" t="s">
        <v>530</v>
      </c>
      <c r="K80" s="81" t="n">
        <v>3</v>
      </c>
      <c r="N80" s="113" t="s">
        <v>526</v>
      </c>
      <c r="O80" s="81" t="n">
        <v>74</v>
      </c>
      <c r="P80" s="81" t="n">
        <v>8</v>
      </c>
      <c r="Q80" s="81" t="s">
        <v>405</v>
      </c>
      <c r="R80" s="81" t="s">
        <v>585</v>
      </c>
      <c r="S80" s="109" t="n">
        <v>45592.635225787</v>
      </c>
      <c r="T80" s="54" t="n">
        <v>2</v>
      </c>
    </row>
    <row r="81" customFormat="false" ht="63.6" hidden="false" customHeight="false" outlineLevel="0" collapsed="false">
      <c r="D81" s="81" t="s">
        <v>530</v>
      </c>
      <c r="G81" s="81" t="s">
        <v>530</v>
      </c>
      <c r="I81" s="81" t="s">
        <v>520</v>
      </c>
      <c r="L81" s="82" t="s">
        <v>520</v>
      </c>
      <c r="N81" s="111" t="s">
        <v>522</v>
      </c>
      <c r="O81" s="81" t="n">
        <v>75</v>
      </c>
      <c r="R81" s="81" t="s">
        <v>585</v>
      </c>
      <c r="T81" s="114" t="s">
        <v>729</v>
      </c>
    </row>
    <row r="82" customFormat="false" ht="26.1" hidden="false" customHeight="false" outlineLevel="0" collapsed="false">
      <c r="F82" s="81" t="s">
        <v>530</v>
      </c>
      <c r="K82" s="81" t="n">
        <v>2</v>
      </c>
      <c r="N82" s="113" t="s">
        <v>526</v>
      </c>
      <c r="O82" s="81" t="n">
        <v>76</v>
      </c>
      <c r="P82" s="81" t="n">
        <v>8</v>
      </c>
      <c r="Q82" s="81" t="s">
        <v>405</v>
      </c>
      <c r="R82" s="81" t="s">
        <v>585</v>
      </c>
      <c r="S82" s="109" t="n">
        <v>45592.6366255324</v>
      </c>
      <c r="T82" s="106" t="s">
        <v>730</v>
      </c>
    </row>
    <row r="83" customFormat="false" ht="326.1" hidden="false" customHeight="false" outlineLevel="0" collapsed="false">
      <c r="D83" s="81" t="s">
        <v>520</v>
      </c>
      <c r="G83" s="81" t="s">
        <v>520</v>
      </c>
      <c r="I83" s="81" t="s">
        <v>530</v>
      </c>
      <c r="J83" s="106" t="s">
        <v>532</v>
      </c>
      <c r="L83" s="82" t="s">
        <v>530</v>
      </c>
      <c r="N83" s="111" t="s">
        <v>522</v>
      </c>
      <c r="O83" s="81" t="n">
        <v>77</v>
      </c>
      <c r="R83" s="81" t="s">
        <v>585</v>
      </c>
      <c r="T83" s="118" t="s">
        <v>731</v>
      </c>
    </row>
    <row r="84" customFormat="false" ht="15" hidden="false" customHeight="false" outlineLevel="0" collapsed="false">
      <c r="F84" s="81" t="s">
        <v>520</v>
      </c>
      <c r="K84" s="81" t="n">
        <v>4</v>
      </c>
      <c r="N84" s="113" t="s">
        <v>526</v>
      </c>
      <c r="O84" s="81" t="n">
        <v>78</v>
      </c>
      <c r="P84" s="81" t="n">
        <v>8</v>
      </c>
      <c r="Q84" s="81" t="s">
        <v>405</v>
      </c>
      <c r="R84" s="81" t="s">
        <v>585</v>
      </c>
      <c r="S84" s="109" t="n">
        <v>45592.6379119213</v>
      </c>
      <c r="T84" s="106" t="s">
        <v>732</v>
      </c>
    </row>
    <row r="85" customFormat="false" ht="63.6" hidden="false" customHeight="false" outlineLevel="0" collapsed="false">
      <c r="D85" s="81" t="s">
        <v>520</v>
      </c>
      <c r="I85" s="81" t="s">
        <v>520</v>
      </c>
      <c r="L85" s="82" t="s">
        <v>520</v>
      </c>
      <c r="N85" s="111" t="s">
        <v>522</v>
      </c>
      <c r="O85" s="81" t="n">
        <v>79</v>
      </c>
      <c r="R85" s="81" t="s">
        <v>585</v>
      </c>
      <c r="T85" s="118" t="s">
        <v>733</v>
      </c>
    </row>
    <row r="86" customFormat="false" ht="15" hidden="false" customHeight="false" outlineLevel="0" collapsed="false">
      <c r="F86" s="81" t="s">
        <v>520</v>
      </c>
      <c r="K86" s="81" t="n">
        <v>3</v>
      </c>
      <c r="N86" s="113" t="s">
        <v>526</v>
      </c>
      <c r="O86" s="81" t="n">
        <v>80</v>
      </c>
      <c r="P86" s="81" t="n">
        <v>8</v>
      </c>
      <c r="Q86" s="81" t="s">
        <v>405</v>
      </c>
      <c r="R86" s="81" t="s">
        <v>585</v>
      </c>
      <c r="S86" s="109" t="n">
        <v>45592.6505982523</v>
      </c>
      <c r="T86" s="106" t="s">
        <v>734</v>
      </c>
    </row>
    <row r="87" customFormat="false" ht="163.6" hidden="false" customHeight="false" outlineLevel="0" collapsed="false">
      <c r="D87" s="81" t="s">
        <v>520</v>
      </c>
      <c r="I87" s="81" t="s">
        <v>520</v>
      </c>
      <c r="L87" s="82" t="s">
        <v>520</v>
      </c>
      <c r="N87" s="111" t="s">
        <v>522</v>
      </c>
      <c r="O87" s="81" t="n">
        <v>81</v>
      </c>
      <c r="R87" s="81" t="s">
        <v>585</v>
      </c>
      <c r="S87" s="109" t="n">
        <v>45592.6507638889</v>
      </c>
      <c r="T87" s="118" t="s">
        <v>735</v>
      </c>
    </row>
    <row r="88" customFormat="false" ht="15" hidden="false" customHeight="false" outlineLevel="0" collapsed="false">
      <c r="S88" s="90"/>
    </row>
    <row r="89" customFormat="false" ht="15" hidden="false" customHeight="false" outlineLevel="0" collapsed="false">
      <c r="S89" s="90"/>
    </row>
    <row r="90" customFormat="false" ht="15" hidden="false" customHeight="false" outlineLevel="0" collapsed="false">
      <c r="S90" s="90"/>
    </row>
    <row r="91" customFormat="false" ht="15" hidden="false" customHeight="false" outlineLevel="0" collapsed="false">
      <c r="S91" s="90"/>
    </row>
    <row r="92" customFormat="false" ht="15" hidden="false" customHeight="false" outlineLevel="0" collapsed="false">
      <c r="S92" s="90"/>
    </row>
    <row r="93" customFormat="false" ht="15" hidden="false" customHeight="false" outlineLevel="0" collapsed="false">
      <c r="S93" s="90"/>
    </row>
    <row r="94" customFormat="false" ht="15" hidden="false" customHeight="false" outlineLevel="0" collapsed="false">
      <c r="S94" s="90"/>
    </row>
    <row r="95" customFormat="false" ht="15" hidden="false" customHeight="false" outlineLevel="0" collapsed="false">
      <c r="S95" s="90"/>
    </row>
    <row r="96" customFormat="false" ht="15" hidden="false" customHeight="false" outlineLevel="0" collapsed="false">
      <c r="S96" s="90"/>
    </row>
    <row r="97" customFormat="false" ht="15" hidden="false" customHeight="false" outlineLevel="0" collapsed="false">
      <c r="S97" s="90"/>
    </row>
    <row r="98" customFormat="false" ht="15" hidden="false" customHeight="false" outlineLevel="0" collapsed="false">
      <c r="S98" s="90"/>
    </row>
    <row r="99" customFormat="false" ht="15" hidden="false" customHeight="false" outlineLevel="0" collapsed="false">
      <c r="S99" s="90"/>
    </row>
    <row r="100" customFormat="false" ht="15" hidden="false" customHeight="false" outlineLevel="0" collapsed="false">
      <c r="S100" s="90"/>
    </row>
    <row r="101" customFormat="false" ht="15" hidden="false" customHeight="false" outlineLevel="0" collapsed="false">
      <c r="S101" s="90"/>
    </row>
    <row r="102" customFormat="false" ht="15" hidden="false" customHeight="false" outlineLevel="0" collapsed="false">
      <c r="S102" s="90"/>
    </row>
    <row r="103" customFormat="false" ht="15" hidden="false" customHeight="false" outlineLevel="0" collapsed="false">
      <c r="S103" s="90"/>
    </row>
    <row r="104" customFormat="false" ht="15" hidden="false" customHeight="false" outlineLevel="0" collapsed="false">
      <c r="S104" s="90"/>
    </row>
    <row r="105" customFormat="false" ht="15" hidden="false" customHeight="false" outlineLevel="0" collapsed="false">
      <c r="S105" s="90"/>
    </row>
    <row r="106" customFormat="false" ht="15" hidden="false" customHeight="false" outlineLevel="0" collapsed="false">
      <c r="S106" s="90"/>
    </row>
    <row r="107" customFormat="false" ht="15" hidden="false" customHeight="false" outlineLevel="0" collapsed="false">
      <c r="S107" s="90"/>
    </row>
    <row r="108" customFormat="false" ht="15" hidden="false" customHeight="false" outlineLevel="0" collapsed="false">
      <c r="S108" s="90"/>
    </row>
    <row r="109" customFormat="false" ht="15" hidden="false" customHeight="false" outlineLevel="0" collapsed="false">
      <c r="S109" s="90"/>
    </row>
    <row r="110" customFormat="false" ht="15" hidden="false" customHeight="false" outlineLevel="0" collapsed="false">
      <c r="S110" s="90"/>
    </row>
    <row r="111" customFormat="false" ht="15" hidden="false" customHeight="false" outlineLevel="0" collapsed="false">
      <c r="S111" s="90"/>
    </row>
    <row r="112" customFormat="false" ht="15" hidden="false" customHeight="false" outlineLevel="0" collapsed="false">
      <c r="S112" s="90"/>
    </row>
    <row r="113" customFormat="false" ht="15" hidden="false" customHeight="false" outlineLevel="0" collapsed="false">
      <c r="S113" s="90"/>
    </row>
  </sheetData>
  <conditionalFormatting sqref="N2:S6">
    <cfRule type="expression" priority="2" aboveAverage="0" equalAverage="0" bottom="0" percent="0" rank="0" text="" dxfId="38">
      <formula>$N2="agent"</formula>
    </cfRule>
  </conditionalFormatting>
  <conditionalFormatting sqref="N88:S113">
    <cfRule type="expression" priority="3" aboveAverage="0" equalAverage="0" bottom="0" percent="0" rank="0" text="" dxfId="39">
      <formula>$N88="agent"</formula>
    </cfRule>
  </conditionalFormatting>
  <conditionalFormatting sqref="S2">
    <cfRule type="expression" priority="4" aboveAverage="0" equalAverage="0" bottom="0" percent="0" rank="0" text="" dxfId="40">
      <formula>$N3="agent"</formula>
    </cfRule>
  </conditionalFormatting>
  <conditionalFormatting sqref="A1:S1 T1:XFD3 O7:S87">
    <cfRule type="expression" priority="5" aboveAverage="0" equalAverage="0" bottom="0" percent="0" rank="0" text="" dxfId="41">
      <formula>$N1="agent"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35" activePane="bottomLeft" state="frozen"/>
      <selection pane="topLeft" activeCell="A1" activeCellId="0" sqref="A1"/>
      <selection pane="bottomLeft" activeCell="R39" activeCellId="0" sqref="R39"/>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9.43"/>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86"/>
    <col collapsed="false" customWidth="true" hidden="false" outlineLevel="0" max="19" min="19" style="81" width="18.14"/>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n">
        <f aca="false">COUNTIF(C7:C100,"y")/(COUNTIF(C7:C100,"y")+COUNTIF(C7:C100,"n"))</f>
        <v>0.461538461538462</v>
      </c>
      <c r="D2" s="86" t="n">
        <f aca="false">COUNTIF(D7:D100,"y")/(COUNTIF(D7:D100,"y")+COUNTIF(D7:D100,"n"))</f>
        <v>0.941176470588235</v>
      </c>
      <c r="E2" s="86"/>
      <c r="F2" s="86" t="n">
        <f aca="false">COUNTIF(F7:F100,"y")/(COUNTIF(F7:F100,"y")+COUNTIF(F7:F100,"n"))</f>
        <v>1</v>
      </c>
      <c r="G2" s="86"/>
      <c r="H2" s="86"/>
      <c r="I2" s="86" t="n">
        <f aca="false">COUNTIF(I7:I100,"y")/(COUNTIF(I7:I100,"y")+COUNTIF(I7:I100,"n"))</f>
        <v>0.75</v>
      </c>
      <c r="J2" s="86"/>
      <c r="K2" s="86" t="n">
        <f aca="false">COUNTIF(K7:K100,"1")</f>
        <v>0</v>
      </c>
      <c r="L2" s="86" t="n">
        <f aca="false">COUNTIF(L7:L100,"y")/(COUNTIF(L7:L100,"y")+COUNTIF(L7:L100,"n"))</f>
        <v>0.75</v>
      </c>
      <c r="M2" s="86"/>
      <c r="O2" s="87" t="n">
        <f aca="false" t="array" ref="O2:O2">LOOKUP(2,1/(O:O&lt;&gt;""),O:O)</f>
        <v>33</v>
      </c>
      <c r="R2" s="83" t="n">
        <f aca="false">COUNTIF(R7:R100,"strategy")/2</f>
        <v>6</v>
      </c>
      <c r="S2" s="88" t="n">
        <f aca="false" t="array" ref="S2:S2">LOOKUP(2,1/(S:S&lt;&gt;""),S:S)-S7</f>
        <v>0.0136947916616898</v>
      </c>
      <c r="T2" s="85"/>
    </row>
    <row r="3" s="83" customFormat="true" ht="15" hidden="false" customHeight="false" outlineLevel="0" collapsed="false">
      <c r="B3" s="89"/>
      <c r="C3" s="89"/>
      <c r="D3" s="89"/>
      <c r="E3" s="89"/>
      <c r="F3" s="89"/>
      <c r="G3" s="89" t="s">
        <v>525</v>
      </c>
      <c r="H3" s="89"/>
      <c r="I3" s="89"/>
      <c r="J3" s="89"/>
      <c r="K3" s="86" t="n">
        <f aca="false">COUNTIF(K7:K100,"2")</f>
        <v>0</v>
      </c>
      <c r="L3" s="89"/>
      <c r="M3" s="89"/>
      <c r="R3" s="83" t="n">
        <f aca="false">COUNTIF(R7:R100,"frequency")/2</f>
        <v>8</v>
      </c>
      <c r="T3" s="85"/>
    </row>
    <row r="4" s="83" customFormat="true" ht="15" hidden="false" customHeight="false" outlineLevel="0" collapsed="false">
      <c r="B4" s="89"/>
      <c r="C4" s="89"/>
      <c r="D4" s="89"/>
      <c r="E4" s="89"/>
      <c r="F4" s="89"/>
      <c r="G4" s="89"/>
      <c r="H4" s="89"/>
      <c r="I4" s="89"/>
      <c r="J4" s="89"/>
      <c r="K4" s="86" t="n">
        <f aca="false">COUNTIF(K7:K100,"3")</f>
        <v>16</v>
      </c>
      <c r="L4" s="89"/>
      <c r="M4" s="89"/>
      <c r="R4" s="83" t="n">
        <f aca="false">CEILING(COUNTIF(R7:R100,"complete")/2,1)</f>
        <v>2</v>
      </c>
      <c r="T4" s="85"/>
    </row>
    <row r="5" s="83" customFormat="true" ht="15" hidden="false" customHeight="false" outlineLevel="0" collapsed="false">
      <c r="B5" s="89"/>
      <c r="C5" s="89"/>
      <c r="D5" s="89"/>
      <c r="E5" s="89"/>
      <c r="F5" s="89"/>
      <c r="G5" s="89"/>
      <c r="H5" s="89"/>
      <c r="I5" s="89"/>
      <c r="J5" s="89"/>
      <c r="K5" s="86" t="n">
        <f aca="false">COUNTIF(K7:K100,"4")</f>
        <v>0</v>
      </c>
      <c r="L5" s="89"/>
      <c r="M5" s="89"/>
      <c r="T5" s="85"/>
    </row>
    <row r="6" s="92" customFormat="true" ht="15" hidden="false" customHeight="false" outlineLevel="0" collapsed="false">
      <c r="B6" s="93"/>
      <c r="C6" s="93"/>
      <c r="D6" s="93"/>
      <c r="E6" s="93"/>
      <c r="F6" s="93"/>
      <c r="G6" s="93"/>
      <c r="H6" s="93"/>
      <c r="I6" s="93"/>
      <c r="J6" s="93"/>
      <c r="K6" s="94" t="n">
        <f aca="false">COUNTIF(K7:K100,"5")</f>
        <v>0</v>
      </c>
      <c r="L6" s="93"/>
      <c r="M6" s="93"/>
      <c r="T6" s="95"/>
    </row>
    <row r="7" s="96" customFormat="true" ht="51.1" hidden="false" customHeight="false" outlineLevel="0" collapsed="false">
      <c r="B7" s="97"/>
      <c r="D7" s="96" t="s">
        <v>520</v>
      </c>
      <c r="E7" s="97"/>
      <c r="I7" s="96" t="s">
        <v>520</v>
      </c>
      <c r="J7" s="97"/>
      <c r="L7" s="97" t="s">
        <v>525</v>
      </c>
      <c r="M7" s="97"/>
      <c r="N7" s="111" t="s">
        <v>522</v>
      </c>
      <c r="O7" s="119" t="n">
        <v>1</v>
      </c>
      <c r="R7" s="96" t="s">
        <v>523</v>
      </c>
      <c r="S7" s="98" t="n">
        <v>45582.402346875</v>
      </c>
      <c r="T7" s="118" t="s">
        <v>736</v>
      </c>
    </row>
    <row r="8" customFormat="false" ht="15" hidden="false" customHeight="false" outlineLevel="0" collapsed="false">
      <c r="F8" s="81" t="s">
        <v>520</v>
      </c>
      <c r="K8" s="81" t="n">
        <v>3</v>
      </c>
      <c r="N8" s="113" t="s">
        <v>526</v>
      </c>
      <c r="O8" s="81" t="n">
        <v>2</v>
      </c>
      <c r="R8" s="81" t="s">
        <v>523</v>
      </c>
      <c r="S8" s="90" t="n">
        <v>45582.4026004398</v>
      </c>
      <c r="T8" s="54" t="s">
        <v>138</v>
      </c>
    </row>
    <row r="9" customFormat="false" ht="63.6" hidden="false" customHeight="false" outlineLevel="0" collapsed="false">
      <c r="D9" s="81" t="s">
        <v>520</v>
      </c>
      <c r="I9" s="81" t="s">
        <v>520</v>
      </c>
      <c r="L9" s="82" t="s">
        <v>520</v>
      </c>
      <c r="N9" s="111" t="s">
        <v>522</v>
      </c>
      <c r="O9" s="81" t="n">
        <v>3</v>
      </c>
      <c r="P9" s="81" t="n">
        <v>5</v>
      </c>
      <c r="R9" s="81" t="s">
        <v>389</v>
      </c>
      <c r="S9" s="90" t="n">
        <v>45582.4026004398</v>
      </c>
      <c r="T9" s="112" t="s">
        <v>737</v>
      </c>
    </row>
    <row r="10" customFormat="false" ht="124.5" hidden="false" customHeight="true" outlineLevel="0" collapsed="false">
      <c r="B10" s="82" t="s">
        <v>738</v>
      </c>
      <c r="C10" s="81" t="s">
        <v>530</v>
      </c>
      <c r="F10" s="81" t="s">
        <v>520</v>
      </c>
      <c r="K10" s="81" t="n">
        <v>3</v>
      </c>
      <c r="N10" s="113" t="s">
        <v>526</v>
      </c>
      <c r="O10" s="81" t="n">
        <v>4</v>
      </c>
      <c r="P10" s="81" t="n">
        <v>5</v>
      </c>
      <c r="R10" s="81" t="s">
        <v>389</v>
      </c>
      <c r="S10" s="90" t="n">
        <v>45582.4028736806</v>
      </c>
      <c r="T10" s="55" t="s">
        <v>139</v>
      </c>
    </row>
    <row r="11" customFormat="false" ht="63.6" hidden="false" customHeight="false" outlineLevel="0" collapsed="false">
      <c r="C11" s="81" t="s">
        <v>520</v>
      </c>
      <c r="D11" s="81" t="s">
        <v>520</v>
      </c>
      <c r="I11" s="81" t="s">
        <v>520</v>
      </c>
      <c r="L11" s="82" t="s">
        <v>520</v>
      </c>
      <c r="N11" s="111" t="s">
        <v>522</v>
      </c>
      <c r="O11" s="81" t="n">
        <v>5</v>
      </c>
      <c r="P11" s="81" t="n">
        <v>5</v>
      </c>
      <c r="Q11" s="81" t="s">
        <v>393</v>
      </c>
      <c r="R11" s="81" t="s">
        <v>534</v>
      </c>
      <c r="S11" s="90" t="n">
        <v>45582.4028736806</v>
      </c>
      <c r="T11" s="112" t="s">
        <v>739</v>
      </c>
    </row>
    <row r="12" customFormat="false" ht="15" hidden="false" customHeight="false" outlineLevel="0" collapsed="false">
      <c r="C12" s="81" t="s">
        <v>530</v>
      </c>
      <c r="F12" s="81" t="s">
        <v>520</v>
      </c>
      <c r="K12" s="81" t="n">
        <v>3</v>
      </c>
      <c r="N12" s="113" t="s">
        <v>526</v>
      </c>
      <c r="O12" s="81" t="n">
        <v>6</v>
      </c>
      <c r="P12" s="81" t="n">
        <v>5</v>
      </c>
      <c r="Q12" s="81" t="s">
        <v>393</v>
      </c>
      <c r="R12" s="81" t="s">
        <v>534</v>
      </c>
      <c r="S12" s="90" t="n">
        <v>45582.4040505671</v>
      </c>
      <c r="T12" s="54" t="s">
        <v>140</v>
      </c>
    </row>
    <row r="13" customFormat="false" ht="63.6" hidden="false" customHeight="false" outlineLevel="0" collapsed="false">
      <c r="D13" s="81" t="s">
        <v>520</v>
      </c>
      <c r="I13" s="81" t="s">
        <v>520</v>
      </c>
      <c r="L13" s="82" t="s">
        <v>520</v>
      </c>
      <c r="N13" s="111" t="s">
        <v>522</v>
      </c>
      <c r="O13" s="81" t="n">
        <v>7</v>
      </c>
      <c r="P13" s="81" t="n">
        <v>5</v>
      </c>
      <c r="Q13" s="81" t="s">
        <v>397</v>
      </c>
      <c r="R13" s="81" t="s">
        <v>534</v>
      </c>
      <c r="S13" s="90" t="n">
        <v>45582.4040505671</v>
      </c>
      <c r="T13" s="112" t="s">
        <v>740</v>
      </c>
    </row>
    <row r="14" customFormat="false" ht="15" hidden="false" customHeight="false" outlineLevel="0" collapsed="false">
      <c r="F14" s="81" t="s">
        <v>520</v>
      </c>
      <c r="K14" s="81" t="n">
        <v>3</v>
      </c>
      <c r="N14" s="113" t="s">
        <v>526</v>
      </c>
      <c r="O14" s="81" t="n">
        <v>8</v>
      </c>
      <c r="P14" s="81" t="n">
        <v>5</v>
      </c>
      <c r="Q14" s="81" t="s">
        <v>397</v>
      </c>
      <c r="R14" s="81" t="s">
        <v>534</v>
      </c>
      <c r="S14" s="90" t="n">
        <v>45582.4073138657</v>
      </c>
      <c r="T14" s="54" t="s">
        <v>141</v>
      </c>
    </row>
    <row r="15" customFormat="false" ht="63.6" hidden="false" customHeight="false" outlineLevel="0" collapsed="false">
      <c r="D15" s="81" t="s">
        <v>520</v>
      </c>
      <c r="I15" s="81" t="s">
        <v>520</v>
      </c>
      <c r="L15" s="82" t="s">
        <v>520</v>
      </c>
      <c r="N15" s="111" t="s">
        <v>522</v>
      </c>
      <c r="O15" s="81" t="n">
        <v>9</v>
      </c>
      <c r="P15" s="81" t="n">
        <v>2</v>
      </c>
      <c r="Q15" s="81" t="s">
        <v>397</v>
      </c>
      <c r="R15" s="81" t="s">
        <v>389</v>
      </c>
      <c r="S15" s="90" t="n">
        <v>45582.4073138657</v>
      </c>
      <c r="T15" s="112" t="s">
        <v>741</v>
      </c>
    </row>
    <row r="16" customFormat="false" ht="15" hidden="false" customHeight="false" outlineLevel="0" collapsed="false">
      <c r="B16" s="82" t="s">
        <v>742</v>
      </c>
      <c r="C16" s="81" t="s">
        <v>530</v>
      </c>
      <c r="F16" s="81" t="s">
        <v>520</v>
      </c>
      <c r="K16" s="81" t="n">
        <v>3</v>
      </c>
      <c r="N16" s="113" t="s">
        <v>526</v>
      </c>
      <c r="O16" s="81" t="n">
        <v>10</v>
      </c>
      <c r="P16" s="81" t="n">
        <v>2</v>
      </c>
      <c r="Q16" s="81" t="s">
        <v>397</v>
      </c>
      <c r="R16" s="81" t="s">
        <v>389</v>
      </c>
      <c r="S16" s="90" t="n">
        <v>45582.4077006597</v>
      </c>
      <c r="T16" s="54" t="s">
        <v>142</v>
      </c>
    </row>
    <row r="17" customFormat="false" ht="51.1" hidden="false" customHeight="false" outlineLevel="0" collapsed="false">
      <c r="C17" s="81" t="s">
        <v>530</v>
      </c>
      <c r="D17" s="81" t="s">
        <v>520</v>
      </c>
      <c r="I17" s="81" t="s">
        <v>530</v>
      </c>
      <c r="J17" s="82" t="s">
        <v>532</v>
      </c>
      <c r="L17" s="82" t="s">
        <v>530</v>
      </c>
      <c r="N17" s="111" t="s">
        <v>522</v>
      </c>
      <c r="O17" s="81" t="n">
        <v>11</v>
      </c>
      <c r="P17" s="81" t="n">
        <v>2</v>
      </c>
      <c r="Q17" s="81" t="s">
        <v>402</v>
      </c>
      <c r="R17" s="81" t="s">
        <v>534</v>
      </c>
      <c r="S17" s="90" t="n">
        <v>45582.4077006597</v>
      </c>
      <c r="T17" s="112" t="s">
        <v>743</v>
      </c>
    </row>
    <row r="18" customFormat="false" ht="15" hidden="false" customHeight="false" outlineLevel="0" collapsed="false">
      <c r="C18" s="81" t="s">
        <v>530</v>
      </c>
      <c r="F18" s="81" t="s">
        <v>520</v>
      </c>
      <c r="K18" s="81" t="n">
        <v>3</v>
      </c>
      <c r="N18" s="113" t="s">
        <v>526</v>
      </c>
      <c r="O18" s="81" t="n">
        <v>12</v>
      </c>
      <c r="P18" s="81" t="n">
        <v>2</v>
      </c>
      <c r="Q18" s="81" t="s">
        <v>402</v>
      </c>
      <c r="R18" s="81" t="s">
        <v>534</v>
      </c>
      <c r="S18" s="90" t="n">
        <v>45582.4082458912</v>
      </c>
      <c r="T18" s="54" t="n">
        <v>2</v>
      </c>
    </row>
    <row r="19" customFormat="false" ht="63.6" hidden="false" customHeight="false" outlineLevel="0" collapsed="false">
      <c r="D19" s="81" t="s">
        <v>520</v>
      </c>
      <c r="I19" s="81" t="s">
        <v>520</v>
      </c>
      <c r="L19" s="82" t="s">
        <v>520</v>
      </c>
      <c r="N19" s="111" t="s">
        <v>522</v>
      </c>
      <c r="O19" s="81" t="n">
        <v>13</v>
      </c>
      <c r="P19" s="81" t="n">
        <v>1</v>
      </c>
      <c r="Q19" s="81" t="s">
        <v>402</v>
      </c>
      <c r="R19" s="81" t="s">
        <v>389</v>
      </c>
      <c r="S19" s="90" t="n">
        <v>45582.4082458912</v>
      </c>
      <c r="T19" s="112" t="s">
        <v>744</v>
      </c>
    </row>
    <row r="20" customFormat="false" ht="15" hidden="false" customHeight="false" outlineLevel="0" collapsed="false">
      <c r="B20" s="82" t="s">
        <v>745</v>
      </c>
      <c r="C20" s="81" t="s">
        <v>520</v>
      </c>
      <c r="F20" s="81" t="s">
        <v>520</v>
      </c>
      <c r="K20" s="81" t="n">
        <v>3</v>
      </c>
      <c r="N20" s="113" t="s">
        <v>526</v>
      </c>
      <c r="O20" s="81" t="n">
        <v>14</v>
      </c>
      <c r="P20" s="81" t="n">
        <v>1</v>
      </c>
      <c r="Q20" s="81" t="s">
        <v>402</v>
      </c>
      <c r="R20" s="81" t="s">
        <v>389</v>
      </c>
      <c r="S20" s="90" t="n">
        <v>45582.4086892245</v>
      </c>
      <c r="T20" s="54" t="s">
        <v>143</v>
      </c>
    </row>
    <row r="21" customFormat="false" ht="138.6" hidden="false" customHeight="false" outlineLevel="0" collapsed="false">
      <c r="C21" s="81" t="s">
        <v>530</v>
      </c>
      <c r="D21" s="81" t="s">
        <v>520</v>
      </c>
      <c r="I21" s="81" t="s">
        <v>530</v>
      </c>
      <c r="J21" s="106" t="s">
        <v>532</v>
      </c>
      <c r="L21" s="82" t="s">
        <v>530</v>
      </c>
      <c r="N21" s="111" t="s">
        <v>522</v>
      </c>
      <c r="O21" s="81" t="n">
        <v>15</v>
      </c>
      <c r="P21" s="81" t="n">
        <v>1</v>
      </c>
      <c r="Q21" s="81" t="s">
        <v>398</v>
      </c>
      <c r="R21" s="81" t="s">
        <v>534</v>
      </c>
      <c r="S21" s="90" t="n">
        <v>45582.4086892245</v>
      </c>
      <c r="T21" s="112" t="s">
        <v>746</v>
      </c>
    </row>
    <row r="22" customFormat="false" ht="15" hidden="false" customHeight="false" outlineLevel="0" collapsed="false">
      <c r="F22" s="81" t="s">
        <v>520</v>
      </c>
      <c r="K22" s="81" t="n">
        <v>3</v>
      </c>
      <c r="N22" s="113" t="s">
        <v>526</v>
      </c>
      <c r="O22" s="81" t="n">
        <v>16</v>
      </c>
      <c r="P22" s="81" t="n">
        <v>1</v>
      </c>
      <c r="Q22" s="81" t="s">
        <v>398</v>
      </c>
      <c r="R22" s="81" t="s">
        <v>534</v>
      </c>
      <c r="S22" s="90" t="n">
        <v>45582.4090422917</v>
      </c>
      <c r="T22" s="54" t="n">
        <v>3</v>
      </c>
    </row>
    <row r="23" customFormat="false" ht="51.1" hidden="false" customHeight="false" outlineLevel="0" collapsed="false">
      <c r="D23" s="81" t="s">
        <v>520</v>
      </c>
      <c r="I23" s="81" t="s">
        <v>520</v>
      </c>
      <c r="L23" s="82" t="s">
        <v>520</v>
      </c>
      <c r="N23" s="111" t="s">
        <v>522</v>
      </c>
      <c r="O23" s="81" t="n">
        <v>17</v>
      </c>
      <c r="P23" s="81" t="n">
        <v>6</v>
      </c>
      <c r="Q23" s="81" t="s">
        <v>398</v>
      </c>
      <c r="R23" s="81" t="s">
        <v>389</v>
      </c>
      <c r="S23" s="90" t="n">
        <v>45582.4090422917</v>
      </c>
      <c r="T23" s="112" t="s">
        <v>747</v>
      </c>
    </row>
    <row r="24" customFormat="false" ht="15" hidden="false" customHeight="false" outlineLevel="0" collapsed="false">
      <c r="B24" s="82" t="s">
        <v>748</v>
      </c>
      <c r="C24" s="81" t="s">
        <v>520</v>
      </c>
      <c r="F24" s="81" t="s">
        <v>520</v>
      </c>
      <c r="K24" s="81" t="n">
        <v>3</v>
      </c>
      <c r="N24" s="113" t="s">
        <v>526</v>
      </c>
      <c r="O24" s="81" t="n">
        <v>18</v>
      </c>
      <c r="P24" s="81" t="n">
        <v>6</v>
      </c>
      <c r="Q24" s="81" t="s">
        <v>398</v>
      </c>
      <c r="R24" s="81" t="s">
        <v>389</v>
      </c>
      <c r="S24" s="90" t="n">
        <v>45582.409561088</v>
      </c>
      <c r="T24" s="54" t="s">
        <v>144</v>
      </c>
    </row>
    <row r="25" customFormat="false" ht="88.6" hidden="false" customHeight="false" outlineLevel="0" collapsed="false">
      <c r="C25" s="81" t="s">
        <v>520</v>
      </c>
      <c r="D25" s="81" t="s">
        <v>520</v>
      </c>
      <c r="I25" s="81" t="s">
        <v>520</v>
      </c>
      <c r="L25" s="82" t="s">
        <v>520</v>
      </c>
      <c r="N25" s="111" t="s">
        <v>522</v>
      </c>
      <c r="O25" s="81" t="n">
        <v>19</v>
      </c>
      <c r="P25" s="81" t="n">
        <v>6</v>
      </c>
      <c r="Q25" s="81" t="s">
        <v>405</v>
      </c>
      <c r="R25" s="81" t="s">
        <v>534</v>
      </c>
      <c r="S25" s="90" t="n">
        <v>45582.409561088</v>
      </c>
      <c r="T25" s="112" t="s">
        <v>749</v>
      </c>
    </row>
    <row r="26" customFormat="false" ht="15" hidden="false" customHeight="false" outlineLevel="0" collapsed="false">
      <c r="F26" s="81" t="s">
        <v>520</v>
      </c>
      <c r="K26" s="81" t="n">
        <v>3</v>
      </c>
      <c r="N26" s="113" t="s">
        <v>526</v>
      </c>
      <c r="O26" s="81" t="n">
        <v>20</v>
      </c>
      <c r="P26" s="81" t="n">
        <v>6</v>
      </c>
      <c r="Q26" s="81" t="s">
        <v>405</v>
      </c>
      <c r="R26" s="81" t="s">
        <v>534</v>
      </c>
      <c r="S26" s="90" t="n">
        <v>45582.410334213</v>
      </c>
      <c r="T26" s="54" t="n">
        <v>4</v>
      </c>
    </row>
    <row r="27" customFormat="false" ht="63.6" hidden="false" customHeight="false" outlineLevel="0" collapsed="false">
      <c r="D27" s="81" t="s">
        <v>520</v>
      </c>
      <c r="I27" s="81" t="s">
        <v>530</v>
      </c>
      <c r="J27" s="106" t="s">
        <v>532</v>
      </c>
      <c r="L27" s="82" t="s">
        <v>530</v>
      </c>
      <c r="N27" s="111" t="s">
        <v>522</v>
      </c>
      <c r="O27" s="81" t="n">
        <v>21</v>
      </c>
      <c r="P27" s="81" t="n">
        <v>6</v>
      </c>
      <c r="Q27" s="81" t="s">
        <v>403</v>
      </c>
      <c r="R27" s="81" t="s">
        <v>534</v>
      </c>
      <c r="S27" s="90" t="n">
        <v>45582.410334213</v>
      </c>
      <c r="T27" s="112" t="s">
        <v>750</v>
      </c>
    </row>
    <row r="28" customFormat="false" ht="15" hidden="false" customHeight="false" outlineLevel="0" collapsed="false">
      <c r="F28" s="81" t="s">
        <v>520</v>
      </c>
      <c r="K28" s="81" t="n">
        <v>3</v>
      </c>
      <c r="N28" s="113" t="s">
        <v>526</v>
      </c>
      <c r="O28" s="81" t="n">
        <v>22</v>
      </c>
      <c r="P28" s="81" t="n">
        <v>6</v>
      </c>
      <c r="Q28" s="81" t="s">
        <v>403</v>
      </c>
      <c r="R28" s="81" t="s">
        <v>534</v>
      </c>
      <c r="S28" s="90" t="n">
        <v>45582.4105636111</v>
      </c>
      <c r="T28" s="54" t="n">
        <v>1</v>
      </c>
    </row>
    <row r="29" customFormat="false" ht="51.1" hidden="false" customHeight="false" outlineLevel="0" collapsed="false">
      <c r="D29" s="81" t="s">
        <v>520</v>
      </c>
      <c r="I29" s="81" t="s">
        <v>520</v>
      </c>
      <c r="L29" s="82" t="s">
        <v>520</v>
      </c>
      <c r="N29" s="111" t="s">
        <v>522</v>
      </c>
      <c r="O29" s="81" t="n">
        <v>23</v>
      </c>
      <c r="P29" s="81" t="n">
        <v>3</v>
      </c>
      <c r="Q29" s="81" t="s">
        <v>403</v>
      </c>
      <c r="R29" s="81" t="s">
        <v>389</v>
      </c>
      <c r="S29" s="90" t="n">
        <v>45582.4105636111</v>
      </c>
      <c r="T29" s="112" t="s">
        <v>751</v>
      </c>
    </row>
    <row r="30" customFormat="false" ht="15" hidden="false" customHeight="false" outlineLevel="0" collapsed="false">
      <c r="B30" s="82" t="s">
        <v>398</v>
      </c>
      <c r="C30" s="81" t="s">
        <v>520</v>
      </c>
      <c r="F30" s="81" t="s">
        <v>520</v>
      </c>
      <c r="K30" s="81" t="n">
        <v>3</v>
      </c>
      <c r="N30" s="113" t="s">
        <v>526</v>
      </c>
      <c r="O30" s="81" t="n">
        <v>24</v>
      </c>
      <c r="P30" s="81" t="n">
        <v>3</v>
      </c>
      <c r="Q30" s="81" t="s">
        <v>403</v>
      </c>
      <c r="R30" s="81" t="s">
        <v>389</v>
      </c>
      <c r="S30" s="90" t="n">
        <v>45582.4114537847</v>
      </c>
      <c r="T30" s="54" t="s">
        <v>145</v>
      </c>
    </row>
    <row r="31" customFormat="false" ht="76.1" hidden="false" customHeight="false" outlineLevel="0" collapsed="false">
      <c r="D31" s="81" t="s">
        <v>520</v>
      </c>
      <c r="I31" s="81" t="s">
        <v>520</v>
      </c>
      <c r="L31" s="82" t="s">
        <v>520</v>
      </c>
      <c r="N31" s="111" t="s">
        <v>522</v>
      </c>
      <c r="O31" s="81" t="n">
        <v>25</v>
      </c>
      <c r="P31" s="81" t="n">
        <v>3</v>
      </c>
      <c r="Q31" s="81" t="s">
        <v>398</v>
      </c>
      <c r="R31" s="81" t="s">
        <v>534</v>
      </c>
      <c r="S31" s="90" t="n">
        <v>45582.4114537847</v>
      </c>
      <c r="T31" s="112" t="s">
        <v>752</v>
      </c>
    </row>
    <row r="32" customFormat="false" ht="15" hidden="false" customHeight="false" outlineLevel="0" collapsed="false">
      <c r="F32" s="81" t="s">
        <v>520</v>
      </c>
      <c r="K32" s="81" t="n">
        <v>3</v>
      </c>
      <c r="N32" s="113" t="s">
        <v>526</v>
      </c>
      <c r="O32" s="81" t="n">
        <v>26</v>
      </c>
      <c r="P32" s="81" t="n">
        <v>3</v>
      </c>
      <c r="Q32" s="81" t="s">
        <v>398</v>
      </c>
      <c r="R32" s="81" t="s">
        <v>534</v>
      </c>
      <c r="S32" s="90" t="n">
        <v>45582.4118150579</v>
      </c>
      <c r="T32" s="54" t="n">
        <v>4</v>
      </c>
    </row>
    <row r="33" customFormat="false" ht="76.1" hidden="false" customHeight="false" outlineLevel="0" collapsed="false">
      <c r="D33" s="81" t="s">
        <v>520</v>
      </c>
      <c r="I33" s="81" t="s">
        <v>520</v>
      </c>
      <c r="L33" s="82" t="s">
        <v>520</v>
      </c>
      <c r="N33" s="111" t="s">
        <v>522</v>
      </c>
      <c r="O33" s="81" t="n">
        <v>27</v>
      </c>
      <c r="P33" s="81" t="n">
        <v>4</v>
      </c>
      <c r="Q33" s="81" t="s">
        <v>398</v>
      </c>
      <c r="R33" s="81" t="s">
        <v>389</v>
      </c>
      <c r="S33" s="90" t="n">
        <v>45582.4118150579</v>
      </c>
      <c r="T33" s="112" t="s">
        <v>753</v>
      </c>
    </row>
    <row r="34" customFormat="false" ht="15" hidden="false" customHeight="false" outlineLevel="0" collapsed="false">
      <c r="B34" s="82" t="s">
        <v>754</v>
      </c>
      <c r="C34" s="81" t="s">
        <v>520</v>
      </c>
      <c r="F34" s="81" t="s">
        <v>520</v>
      </c>
      <c r="K34" s="81" t="n">
        <v>3</v>
      </c>
      <c r="N34" s="113" t="s">
        <v>526</v>
      </c>
      <c r="O34" s="81" t="n">
        <v>28</v>
      </c>
      <c r="P34" s="81" t="n">
        <v>4</v>
      </c>
      <c r="Q34" s="81" t="s">
        <v>398</v>
      </c>
      <c r="R34" s="81" t="s">
        <v>389</v>
      </c>
      <c r="S34" s="90" t="n">
        <v>45582.4126376273</v>
      </c>
      <c r="T34" s="54" t="s">
        <v>146</v>
      </c>
    </row>
    <row r="35" customFormat="false" ht="151.1" hidden="false" customHeight="false" outlineLevel="0" collapsed="false">
      <c r="C35" s="81" t="s">
        <v>530</v>
      </c>
      <c r="D35" s="81" t="s">
        <v>520</v>
      </c>
      <c r="I35" s="81" t="s">
        <v>530</v>
      </c>
      <c r="J35" s="106" t="s">
        <v>532</v>
      </c>
      <c r="L35" s="82" t="s">
        <v>530</v>
      </c>
      <c r="N35" s="111" t="s">
        <v>522</v>
      </c>
      <c r="O35" s="81" t="n">
        <v>29</v>
      </c>
      <c r="P35" s="81" t="n">
        <v>4</v>
      </c>
      <c r="Q35" s="81" t="s">
        <v>394</v>
      </c>
      <c r="R35" s="81" t="s">
        <v>534</v>
      </c>
      <c r="S35" s="90" t="n">
        <v>45582.4126376273</v>
      </c>
      <c r="T35" s="112" t="s">
        <v>755</v>
      </c>
    </row>
    <row r="36" customFormat="false" ht="15" hidden="false" customHeight="false" outlineLevel="0" collapsed="false">
      <c r="F36" s="81" t="s">
        <v>520</v>
      </c>
      <c r="K36" s="81" t="n">
        <v>3</v>
      </c>
      <c r="N36" s="113" t="s">
        <v>526</v>
      </c>
      <c r="O36" s="81" t="n">
        <v>30</v>
      </c>
      <c r="P36" s="81" t="n">
        <v>4</v>
      </c>
      <c r="Q36" s="81" t="s">
        <v>394</v>
      </c>
      <c r="R36" s="81" t="s">
        <v>534</v>
      </c>
      <c r="S36" s="90" t="n">
        <v>45582.4153573264</v>
      </c>
      <c r="T36" s="54" t="n">
        <v>2</v>
      </c>
    </row>
    <row r="37" customFormat="false" ht="238.6" hidden="false" customHeight="false" outlineLevel="0" collapsed="false">
      <c r="D37" s="81" t="s">
        <v>530</v>
      </c>
      <c r="E37" s="82" t="s">
        <v>756</v>
      </c>
      <c r="I37" s="81" t="s">
        <v>520</v>
      </c>
      <c r="L37" s="82" t="s">
        <v>520</v>
      </c>
      <c r="N37" s="111" t="s">
        <v>522</v>
      </c>
      <c r="O37" s="81" t="n">
        <v>31</v>
      </c>
      <c r="Q37" s="81" t="s">
        <v>394</v>
      </c>
      <c r="R37" s="81" t="s">
        <v>585</v>
      </c>
      <c r="S37" s="90" t="n">
        <v>45582.4153573264</v>
      </c>
      <c r="T37" s="112" t="s">
        <v>757</v>
      </c>
    </row>
    <row r="38" customFormat="false" ht="15" hidden="false" customHeight="false" outlineLevel="0" collapsed="false">
      <c r="F38" s="81" t="s">
        <v>520</v>
      </c>
      <c r="K38" s="81" t="n">
        <v>3</v>
      </c>
      <c r="N38" s="113" t="s">
        <v>526</v>
      </c>
      <c r="O38" s="81" t="n">
        <v>32</v>
      </c>
      <c r="P38" s="81" t="n">
        <v>4</v>
      </c>
      <c r="Q38" s="81" t="s">
        <v>394</v>
      </c>
      <c r="R38" s="81" t="s">
        <v>585</v>
      </c>
      <c r="S38" s="90" t="n">
        <v>45582.4158886921</v>
      </c>
      <c r="T38" s="54" t="s">
        <v>147</v>
      </c>
    </row>
    <row r="39" customFormat="false" ht="351.1" hidden="false" customHeight="false" outlineLevel="0" collapsed="false">
      <c r="D39" s="81" t="s">
        <v>520</v>
      </c>
      <c r="J39" s="82" t="s">
        <v>520</v>
      </c>
      <c r="L39" s="82" t="s">
        <v>520</v>
      </c>
      <c r="N39" s="111" t="s">
        <v>522</v>
      </c>
      <c r="O39" s="81" t="n">
        <v>33</v>
      </c>
      <c r="R39" s="81" t="s">
        <v>585</v>
      </c>
      <c r="S39" s="90" t="n">
        <v>45582.4160416667</v>
      </c>
      <c r="T39" s="118" t="s">
        <v>758</v>
      </c>
    </row>
    <row r="40" customFormat="false" ht="15" hidden="false" customHeight="false" outlineLevel="0" collapsed="false">
      <c r="N40" s="109"/>
      <c r="S40" s="109"/>
    </row>
    <row r="41" customFormat="false" ht="15" hidden="false" customHeight="false" outlineLevel="0" collapsed="false">
      <c r="N41" s="109"/>
      <c r="S41" s="109"/>
    </row>
    <row r="42" customFormat="false" ht="15" hidden="false" customHeight="false" outlineLevel="0" collapsed="false">
      <c r="N42" s="109"/>
      <c r="S42" s="109"/>
    </row>
    <row r="43" customFormat="false" ht="15" hidden="false" customHeight="false" outlineLevel="0" collapsed="false">
      <c r="N43" s="109"/>
      <c r="S43" s="109"/>
    </row>
    <row r="44" customFormat="false" ht="15" hidden="false" customHeight="false" outlineLevel="0" collapsed="false">
      <c r="N44" s="109"/>
      <c r="S44" s="109"/>
    </row>
    <row r="45" customFormat="false" ht="15" hidden="false" customHeight="false" outlineLevel="0" collapsed="false">
      <c r="N45" s="109"/>
      <c r="S45" s="109"/>
    </row>
    <row r="46" customFormat="false" ht="15" hidden="false" customHeight="false" outlineLevel="0" collapsed="false">
      <c r="N46" s="109"/>
      <c r="S46" s="109"/>
    </row>
    <row r="47" customFormat="false" ht="15" hidden="false" customHeight="false" outlineLevel="0" collapsed="false">
      <c r="N47" s="109"/>
      <c r="S47" s="109"/>
    </row>
    <row r="48" customFormat="false" ht="15" hidden="false" customHeight="false" outlineLevel="0" collapsed="false">
      <c r="N48" s="109"/>
      <c r="S48" s="109"/>
    </row>
    <row r="49" customFormat="false" ht="15" hidden="false" customHeight="false" outlineLevel="0" collapsed="false">
      <c r="N49" s="109"/>
      <c r="S49" s="109"/>
    </row>
    <row r="50" customFormat="false" ht="15" hidden="false" customHeight="false" outlineLevel="0" collapsed="false">
      <c r="N50" s="109"/>
      <c r="S50" s="109"/>
    </row>
    <row r="51" customFormat="false" ht="15" hidden="false" customHeight="false" outlineLevel="0" collapsed="false">
      <c r="N51" s="109"/>
      <c r="S51" s="109"/>
    </row>
    <row r="52" customFormat="false" ht="15" hidden="false" customHeight="false" outlineLevel="0" collapsed="false">
      <c r="N52" s="109"/>
      <c r="S52" s="109"/>
    </row>
    <row r="53" customFormat="false" ht="15" hidden="false" customHeight="false" outlineLevel="0" collapsed="false">
      <c r="N53" s="109"/>
      <c r="S53" s="109"/>
    </row>
    <row r="54" customFormat="false" ht="15" hidden="false" customHeight="false" outlineLevel="0" collapsed="false">
      <c r="N54" s="109"/>
      <c r="S54" s="109"/>
    </row>
    <row r="55" customFormat="false" ht="15" hidden="false" customHeight="false" outlineLevel="0" collapsed="false">
      <c r="N55" s="109"/>
      <c r="S55" s="109"/>
    </row>
    <row r="56" customFormat="false" ht="15" hidden="false" customHeight="false" outlineLevel="0" collapsed="false">
      <c r="N56" s="109"/>
      <c r="S56" s="109"/>
    </row>
    <row r="57" customFormat="false" ht="15" hidden="false" customHeight="false" outlineLevel="0" collapsed="false">
      <c r="N57" s="109"/>
      <c r="S57" s="109"/>
    </row>
    <row r="58" customFormat="false" ht="15" hidden="false" customHeight="false" outlineLevel="0" collapsed="false">
      <c r="N58" s="109"/>
      <c r="S58" s="109"/>
    </row>
    <row r="59" customFormat="false" ht="15" hidden="false" customHeight="false" outlineLevel="0" collapsed="false">
      <c r="N59" s="109"/>
      <c r="S59" s="109"/>
    </row>
    <row r="60" customFormat="false" ht="15" hidden="false" customHeight="false" outlineLevel="0" collapsed="false">
      <c r="N60" s="109"/>
      <c r="S60" s="109"/>
    </row>
    <row r="61" customFormat="false" ht="15" hidden="false" customHeight="false" outlineLevel="0" collapsed="false">
      <c r="N61" s="110"/>
      <c r="S61" s="110"/>
    </row>
  </sheetData>
  <conditionalFormatting sqref="O7:S39">
    <cfRule type="expression" priority="2" aboveAverage="0" equalAverage="0" bottom="0" percent="0" rank="0" text="" dxfId="42">
      <formula>$N7="agent"</formula>
    </cfRule>
  </conditionalFormatting>
  <conditionalFormatting sqref="N2:S6">
    <cfRule type="expression" priority="3" aboveAverage="0" equalAverage="0" bottom="0" percent="0" rank="0" text="" dxfId="43">
      <formula>$N2="agent"</formula>
    </cfRule>
  </conditionalFormatting>
  <conditionalFormatting sqref="N40:S105">
    <cfRule type="expression" priority="4" aboveAverage="0" equalAverage="0" bottom="0" percent="0" rank="0" text="" dxfId="44">
      <formula>$N40="agent"</formula>
    </cfRule>
  </conditionalFormatting>
  <conditionalFormatting sqref="S2">
    <cfRule type="expression" priority="5" aboveAverage="0" equalAverage="0" bottom="0" percent="0" rank="0" text="" dxfId="45">
      <formula>$N3="agent"</formula>
    </cfRule>
  </conditionalFormatting>
  <conditionalFormatting sqref="A1:S1 T1:XFD3">
    <cfRule type="expression" priority="6" aboveAverage="0" equalAverage="0" bottom="0" percent="0" rank="0" text="" dxfId="46">
      <formula>$N1="agent"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47" activePane="bottomLeft" state="frozen"/>
      <selection pane="topLeft" activeCell="A1" activeCellId="0" sqref="A1"/>
      <selection pane="bottomLeft" activeCell="T51" activeCellId="0" sqref="T51"/>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9.43"/>
    <col collapsed="false" customWidth="true" hidden="false" outlineLevel="0" max="6" min="6" style="81" width="11.86"/>
    <col collapsed="false" customWidth="true" hidden="false" outlineLevel="0" max="7" min="7" style="81" width="13.14"/>
    <col collapsed="false" customWidth="true" hidden="false" outlineLevel="0" max="8" min="8" style="81" width="22.29"/>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86"/>
    <col collapsed="false" customWidth="true" hidden="false" outlineLevel="0" max="19" min="19" style="81" width="18.14"/>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n">
        <f aca="false">COUNTIF(C7:C100,"y")/(COUNTIF(C7:C100,"y")+COUNTIF(C7:C100,"n"))</f>
        <v>0.333333333333333</v>
      </c>
      <c r="D2" s="86" t="n">
        <f aca="false">COUNTIF(D7:D100,"y")/(COUNTIF(D7:D100,"y")+COUNTIF(D7:D100,"n"))</f>
        <v>0.782608695652174</v>
      </c>
      <c r="E2" s="86"/>
      <c r="F2" s="86" t="n">
        <f aca="false">COUNTIF(F7:F100,"y")/(COUNTIF(F7:F100,"y")+COUNTIF(F7:F100,"n"))</f>
        <v>0.818181818181818</v>
      </c>
      <c r="G2" s="86" t="n">
        <f aca="false">COUNTIF(G7:G100,"y")/(COUNTIF(G7:G100,"y")+COUNTIF(G7:G100,"n"))</f>
        <v>0.75</v>
      </c>
      <c r="H2" s="86"/>
      <c r="I2" s="86" t="n">
        <f aca="false">COUNTIF(I7:I100,"y")/(COUNTIF(I7:I100,"y")+COUNTIF(I7:I100,"n"))</f>
        <v>1</v>
      </c>
      <c r="J2" s="86"/>
      <c r="K2" s="86" t="n">
        <f aca="false">COUNTIF(K7:K100,"1")</f>
        <v>0</v>
      </c>
      <c r="L2" s="86" t="n">
        <f aca="false">COUNTIF(L7:L100,"y")/(COUNTIF(L7:L100,"y")+COUNTIF(L7:L100,"n"))</f>
        <v>0.954545454545455</v>
      </c>
      <c r="M2" s="86"/>
      <c r="O2" s="87" t="n">
        <f aca="false" t="array" ref="O2:O2">LOOKUP(2,1/(O:O&lt;&gt;""),O:O)</f>
        <v>45</v>
      </c>
      <c r="R2" s="83" t="n">
        <f aca="false">COUNTIF(R7:R100,"strategy")/2</f>
        <v>9</v>
      </c>
      <c r="S2" s="88" t="n">
        <f aca="false" t="array" ref="S2:S2">LOOKUP(2,1/(S:S&lt;&gt;""),S:S)-S7</f>
        <v>11.9196340046328</v>
      </c>
      <c r="T2" s="85"/>
    </row>
    <row r="3" s="83" customFormat="true" ht="15" hidden="false" customHeight="false" outlineLevel="0" collapsed="false">
      <c r="B3" s="89"/>
      <c r="C3" s="89"/>
      <c r="D3" s="89"/>
      <c r="E3" s="89"/>
      <c r="F3" s="89"/>
      <c r="G3" s="89"/>
      <c r="H3" s="89"/>
      <c r="I3" s="89"/>
      <c r="J3" s="89"/>
      <c r="K3" s="86" t="n">
        <f aca="false">COUNTIF(K7:K100,"2")</f>
        <v>0</v>
      </c>
      <c r="L3" s="89"/>
      <c r="M3" s="89"/>
      <c r="R3" s="83" t="n">
        <f aca="false">COUNTIF(R7:R100,"frequency")/2</f>
        <v>12</v>
      </c>
      <c r="T3" s="85"/>
    </row>
    <row r="4" s="83" customFormat="true" ht="15" hidden="false" customHeight="false" outlineLevel="0" collapsed="false">
      <c r="B4" s="89"/>
      <c r="C4" s="89"/>
      <c r="D4" s="89"/>
      <c r="E4" s="89"/>
      <c r="F4" s="89"/>
      <c r="G4" s="89"/>
      <c r="H4" s="89"/>
      <c r="I4" s="89"/>
      <c r="J4" s="89"/>
      <c r="K4" s="86" t="n">
        <f aca="false">COUNTIF(K7:K100,"3")</f>
        <v>21</v>
      </c>
      <c r="L4" s="89"/>
      <c r="M4" s="89"/>
      <c r="R4" s="83" t="n">
        <f aca="false">CEILING(COUNTIF(R7:R100,"complete")/2,1)</f>
        <v>1</v>
      </c>
      <c r="S4" s="105" t="n">
        <f aca="false">(S9-S7)+(S15-S10)+(S51-S16)</f>
        <v>0.0178337152829045</v>
      </c>
      <c r="T4" s="85"/>
    </row>
    <row r="5" s="83" customFormat="true" ht="15" hidden="false" customHeight="false" outlineLevel="0" collapsed="false">
      <c r="B5" s="89"/>
      <c r="C5" s="89"/>
      <c r="D5" s="89"/>
      <c r="E5" s="89"/>
      <c r="F5" s="89"/>
      <c r="G5" s="89"/>
      <c r="H5" s="89"/>
      <c r="I5" s="89"/>
      <c r="J5" s="89"/>
      <c r="K5" s="86" t="n">
        <f aca="false">COUNTIF(K7:K100,"4")</f>
        <v>1</v>
      </c>
      <c r="L5" s="89"/>
      <c r="M5" s="89"/>
      <c r="T5" s="85"/>
    </row>
    <row r="6" s="92" customFormat="true" ht="15" hidden="false" customHeight="false" outlineLevel="0" collapsed="false">
      <c r="B6" s="93"/>
      <c r="C6" s="93"/>
      <c r="D6" s="93"/>
      <c r="E6" s="93"/>
      <c r="F6" s="93"/>
      <c r="G6" s="93"/>
      <c r="H6" s="93"/>
      <c r="I6" s="93"/>
      <c r="J6" s="93"/>
      <c r="K6" s="94" t="n">
        <f aca="false">COUNTIF(K7:K100,"5")</f>
        <v>0</v>
      </c>
      <c r="L6" s="93"/>
      <c r="M6" s="93"/>
      <c r="T6" s="95"/>
    </row>
    <row r="7" s="96" customFormat="true" ht="51.1" hidden="false" customHeight="false" outlineLevel="0" collapsed="false">
      <c r="B7" s="97"/>
      <c r="D7" s="96" t="s">
        <v>520</v>
      </c>
      <c r="E7" s="97"/>
      <c r="I7" s="96" t="s">
        <v>520</v>
      </c>
      <c r="J7" s="97"/>
      <c r="L7" s="97" t="s">
        <v>525</v>
      </c>
      <c r="M7" s="97"/>
      <c r="N7" s="111" t="s">
        <v>522</v>
      </c>
      <c r="O7" s="96" t="n">
        <v>1</v>
      </c>
      <c r="R7" s="96" t="s">
        <v>523</v>
      </c>
      <c r="S7" s="98" t="n">
        <v>45581.7138489352</v>
      </c>
      <c r="T7" s="112" t="s">
        <v>759</v>
      </c>
    </row>
    <row r="8" customFormat="false" ht="26.1" hidden="false" customHeight="false" outlineLevel="0" collapsed="false">
      <c r="F8" s="81" t="s">
        <v>520</v>
      </c>
      <c r="K8" s="81" t="n">
        <v>4</v>
      </c>
      <c r="N8" s="113" t="s">
        <v>526</v>
      </c>
      <c r="O8" s="81" t="n">
        <v>2</v>
      </c>
      <c r="R8" s="81" t="s">
        <v>523</v>
      </c>
      <c r="S8" s="109" t="n">
        <v>45581.7159197917</v>
      </c>
      <c r="T8" s="54" t="s">
        <v>148</v>
      </c>
    </row>
    <row r="9" customFormat="false" ht="63.6" hidden="false" customHeight="false" outlineLevel="0" collapsed="false">
      <c r="D9" s="81" t="s">
        <v>520</v>
      </c>
      <c r="I9" s="81" t="s">
        <v>520</v>
      </c>
      <c r="L9" s="82" t="s">
        <v>530</v>
      </c>
      <c r="N9" s="120" t="s">
        <v>522</v>
      </c>
      <c r="O9" s="81" t="n">
        <v>3</v>
      </c>
      <c r="P9" s="81" t="n">
        <v>6</v>
      </c>
      <c r="R9" s="81" t="s">
        <v>389</v>
      </c>
      <c r="S9" s="109" t="n">
        <v>45581.7159197917</v>
      </c>
      <c r="T9" s="121" t="s">
        <v>760</v>
      </c>
    </row>
    <row r="10" customFormat="false" ht="124.5" hidden="false" customHeight="true" outlineLevel="0" collapsed="false">
      <c r="B10" s="82" t="s">
        <v>761</v>
      </c>
      <c r="C10" s="81" t="s">
        <v>520</v>
      </c>
      <c r="F10" s="81" t="s">
        <v>520</v>
      </c>
      <c r="K10" s="81" t="n">
        <v>3</v>
      </c>
      <c r="N10" s="113" t="s">
        <v>526</v>
      </c>
      <c r="O10" s="81" t="n">
        <v>4</v>
      </c>
      <c r="P10" s="81" t="n">
        <v>6</v>
      </c>
      <c r="R10" s="81" t="s">
        <v>389</v>
      </c>
      <c r="S10" s="109" t="n">
        <v>45582.4033416435</v>
      </c>
      <c r="T10" s="54" t="s">
        <v>149</v>
      </c>
    </row>
    <row r="11" customFormat="false" ht="63.6" hidden="false" customHeight="false" outlineLevel="0" collapsed="false">
      <c r="C11" s="81" t="s">
        <v>530</v>
      </c>
      <c r="D11" s="81" t="s">
        <v>520</v>
      </c>
      <c r="I11" s="81" t="s">
        <v>520</v>
      </c>
      <c r="L11" s="82" t="s">
        <v>520</v>
      </c>
      <c r="N11" s="120" t="s">
        <v>522</v>
      </c>
      <c r="O11" s="81" t="n">
        <v>5</v>
      </c>
      <c r="P11" s="81" t="n">
        <v>6</v>
      </c>
      <c r="Q11" s="81" t="s">
        <v>406</v>
      </c>
      <c r="R11" s="81" t="s">
        <v>534</v>
      </c>
      <c r="S11" s="109" t="n">
        <v>45582.4033416435</v>
      </c>
      <c r="T11" s="121" t="s">
        <v>762</v>
      </c>
    </row>
    <row r="12" customFormat="false" ht="15" hidden="false" customHeight="false" outlineLevel="0" collapsed="false">
      <c r="F12" s="81" t="s">
        <v>520</v>
      </c>
      <c r="K12" s="81" t="n">
        <v>3</v>
      </c>
      <c r="N12" s="113" t="s">
        <v>526</v>
      </c>
      <c r="O12" s="81" t="n">
        <v>6</v>
      </c>
      <c r="P12" s="81" t="n">
        <v>6</v>
      </c>
      <c r="Q12" s="81" t="s">
        <v>406</v>
      </c>
      <c r="R12" s="81" t="s">
        <v>534</v>
      </c>
      <c r="S12" s="109" t="n">
        <v>45582.4055357292</v>
      </c>
      <c r="T12" s="54" t="s">
        <v>150</v>
      </c>
    </row>
    <row r="13" customFormat="false" ht="51.1" hidden="false" customHeight="false" outlineLevel="0" collapsed="false">
      <c r="D13" s="81" t="s">
        <v>530</v>
      </c>
      <c r="E13" s="82" t="s">
        <v>763</v>
      </c>
      <c r="I13" s="81" t="s">
        <v>520</v>
      </c>
      <c r="L13" s="82" t="s">
        <v>520</v>
      </c>
      <c r="N13" s="120" t="s">
        <v>522</v>
      </c>
      <c r="O13" s="81" t="n">
        <v>7</v>
      </c>
      <c r="P13" s="81" t="n">
        <v>6</v>
      </c>
      <c r="Q13" s="81" t="s">
        <v>406</v>
      </c>
      <c r="R13" s="81" t="s">
        <v>534</v>
      </c>
      <c r="S13" s="109" t="n">
        <v>45582.4055357292</v>
      </c>
      <c r="T13" s="121" t="s">
        <v>764</v>
      </c>
    </row>
    <row r="14" customFormat="false" ht="26.1" hidden="false" customHeight="false" outlineLevel="0" collapsed="false">
      <c r="F14" s="81" t="s">
        <v>530</v>
      </c>
      <c r="K14" s="81" t="n">
        <v>3</v>
      </c>
      <c r="N14" s="113" t="s">
        <v>526</v>
      </c>
      <c r="O14" s="81" t="n">
        <v>8</v>
      </c>
      <c r="P14" s="81" t="n">
        <v>6</v>
      </c>
      <c r="Q14" s="81" t="s">
        <v>406</v>
      </c>
      <c r="R14" s="81" t="s">
        <v>534</v>
      </c>
      <c r="S14" s="109" t="n">
        <v>45582.4079895486</v>
      </c>
      <c r="T14" s="54" t="s">
        <v>151</v>
      </c>
    </row>
    <row r="15" customFormat="false" ht="76.1" hidden="false" customHeight="false" outlineLevel="0" collapsed="false">
      <c r="D15" s="81" t="s">
        <v>520</v>
      </c>
      <c r="G15" s="81" t="s">
        <v>520</v>
      </c>
      <c r="I15" s="81" t="s">
        <v>520</v>
      </c>
      <c r="L15" s="82" t="s">
        <v>520</v>
      </c>
      <c r="N15" s="120" t="s">
        <v>522</v>
      </c>
      <c r="O15" s="81" t="n">
        <v>9</v>
      </c>
      <c r="P15" s="81" t="n">
        <v>1</v>
      </c>
      <c r="Q15" s="81" t="s">
        <v>406</v>
      </c>
      <c r="R15" s="81" t="s">
        <v>389</v>
      </c>
      <c r="S15" s="109" t="n">
        <v>45582.4079895486</v>
      </c>
      <c r="T15" s="121" t="s">
        <v>765</v>
      </c>
    </row>
    <row r="16" customFormat="false" ht="15" hidden="false" customHeight="false" outlineLevel="0" collapsed="false">
      <c r="B16" s="82" t="s">
        <v>399</v>
      </c>
      <c r="C16" s="81" t="s">
        <v>520</v>
      </c>
      <c r="F16" s="81" t="s">
        <v>520</v>
      </c>
      <c r="K16" s="81" t="n">
        <v>3</v>
      </c>
      <c r="N16" s="113" t="s">
        <v>526</v>
      </c>
      <c r="O16" s="81" t="n">
        <v>10</v>
      </c>
      <c r="P16" s="81" t="n">
        <v>1</v>
      </c>
      <c r="Q16" s="81" t="s">
        <v>406</v>
      </c>
      <c r="R16" s="81" t="s">
        <v>389</v>
      </c>
      <c r="S16" s="109" t="n">
        <v>45593.6223679861</v>
      </c>
      <c r="T16" s="54" t="s">
        <v>152</v>
      </c>
    </row>
    <row r="17" customFormat="false" ht="63.6" hidden="false" customHeight="false" outlineLevel="0" collapsed="false">
      <c r="D17" s="81" t="s">
        <v>520</v>
      </c>
      <c r="I17" s="81" t="s">
        <v>520</v>
      </c>
      <c r="L17" s="82" t="s">
        <v>520</v>
      </c>
      <c r="N17" s="120" t="s">
        <v>522</v>
      </c>
      <c r="O17" s="81" t="n">
        <v>11</v>
      </c>
      <c r="P17" s="81" t="n">
        <v>1</v>
      </c>
      <c r="Q17" s="81" t="s">
        <v>399</v>
      </c>
      <c r="R17" s="81" t="s">
        <v>534</v>
      </c>
      <c r="S17" s="109" t="n">
        <v>45593.6223679861</v>
      </c>
      <c r="T17" s="121" t="s">
        <v>766</v>
      </c>
    </row>
    <row r="18" customFormat="false" ht="15" hidden="false" customHeight="false" outlineLevel="0" collapsed="false">
      <c r="F18" s="81" t="s">
        <v>520</v>
      </c>
      <c r="K18" s="81" t="n">
        <v>3</v>
      </c>
      <c r="N18" s="113" t="s">
        <v>526</v>
      </c>
      <c r="O18" s="81" t="n">
        <v>12</v>
      </c>
      <c r="P18" s="81" t="n">
        <v>1</v>
      </c>
      <c r="Q18" s="81" t="s">
        <v>399</v>
      </c>
      <c r="R18" s="81" t="s">
        <v>534</v>
      </c>
      <c r="S18" s="109" t="n">
        <v>45593.6227050694</v>
      </c>
      <c r="T18" s="54" t="n">
        <v>3</v>
      </c>
    </row>
    <row r="19" customFormat="false" ht="63.6" hidden="false" customHeight="false" outlineLevel="0" collapsed="false">
      <c r="D19" s="81" t="s">
        <v>520</v>
      </c>
      <c r="I19" s="81" t="s">
        <v>520</v>
      </c>
      <c r="L19" s="82" t="s">
        <v>520</v>
      </c>
      <c r="N19" s="120" t="s">
        <v>522</v>
      </c>
      <c r="O19" s="81" t="n">
        <v>13</v>
      </c>
      <c r="P19" s="81" t="n">
        <v>3</v>
      </c>
      <c r="Q19" s="81" t="s">
        <v>399</v>
      </c>
      <c r="R19" s="81" t="s">
        <v>389</v>
      </c>
      <c r="S19" s="109" t="n">
        <v>45593.6227050694</v>
      </c>
      <c r="T19" s="121" t="s">
        <v>767</v>
      </c>
    </row>
    <row r="20" customFormat="false" ht="15" hidden="false" customHeight="false" outlineLevel="0" collapsed="false">
      <c r="B20" s="82" t="s">
        <v>768</v>
      </c>
      <c r="C20" s="81" t="s">
        <v>530</v>
      </c>
      <c r="F20" s="81" t="s">
        <v>520</v>
      </c>
      <c r="K20" s="81" t="n">
        <v>3</v>
      </c>
      <c r="N20" s="113" t="s">
        <v>526</v>
      </c>
      <c r="O20" s="81" t="n">
        <v>14</v>
      </c>
      <c r="P20" s="81" t="n">
        <v>3</v>
      </c>
      <c r="Q20" s="81" t="s">
        <v>399</v>
      </c>
      <c r="R20" s="81" t="s">
        <v>389</v>
      </c>
      <c r="S20" s="109" t="n">
        <v>45593.6235561227</v>
      </c>
      <c r="T20" s="54" t="s">
        <v>153</v>
      </c>
    </row>
    <row r="21" customFormat="false" ht="38.6" hidden="false" customHeight="false" outlineLevel="0" collapsed="false">
      <c r="C21" s="81" t="s">
        <v>530</v>
      </c>
      <c r="D21" s="81" t="s">
        <v>530</v>
      </c>
      <c r="E21" s="82" t="s">
        <v>769</v>
      </c>
      <c r="I21" s="81" t="s">
        <v>520</v>
      </c>
      <c r="L21" s="82" t="s">
        <v>520</v>
      </c>
      <c r="N21" s="120" t="s">
        <v>522</v>
      </c>
      <c r="O21" s="81" t="n">
        <v>15</v>
      </c>
      <c r="P21" s="81" t="n">
        <v>3</v>
      </c>
      <c r="Q21" s="81" t="s">
        <v>399</v>
      </c>
      <c r="R21" s="81" t="s">
        <v>389</v>
      </c>
      <c r="S21" s="109" t="n">
        <v>45593.6235561227</v>
      </c>
      <c r="T21" s="121" t="s">
        <v>770</v>
      </c>
    </row>
    <row r="22" customFormat="false" ht="15" hidden="false" customHeight="false" outlineLevel="0" collapsed="false">
      <c r="F22" s="81" t="s">
        <v>530</v>
      </c>
      <c r="K22" s="81" t="n">
        <v>3</v>
      </c>
      <c r="N22" s="113" t="s">
        <v>526</v>
      </c>
      <c r="O22" s="81" t="n">
        <v>16</v>
      </c>
      <c r="P22" s="81" t="n">
        <v>3</v>
      </c>
      <c r="Q22" s="81" t="s">
        <v>399</v>
      </c>
      <c r="R22" s="81" t="s">
        <v>389</v>
      </c>
      <c r="S22" s="109" t="n">
        <v>45593.6240443519</v>
      </c>
      <c r="T22" s="54" t="s">
        <v>154</v>
      </c>
    </row>
    <row r="23" customFormat="false" ht="38.6" hidden="false" customHeight="false" outlineLevel="0" collapsed="false">
      <c r="D23" s="81" t="s">
        <v>530</v>
      </c>
      <c r="E23" s="82" t="s">
        <v>771</v>
      </c>
      <c r="G23" s="81" t="s">
        <v>530</v>
      </c>
      <c r="I23" s="81" t="s">
        <v>520</v>
      </c>
      <c r="L23" s="82" t="s">
        <v>520</v>
      </c>
      <c r="N23" s="120" t="s">
        <v>522</v>
      </c>
      <c r="O23" s="81" t="n">
        <v>17</v>
      </c>
      <c r="P23" s="81" t="n">
        <v>3</v>
      </c>
      <c r="Q23" s="81" t="s">
        <v>399</v>
      </c>
      <c r="R23" s="81" t="s">
        <v>389</v>
      </c>
      <c r="S23" s="109" t="n">
        <v>45593.6240443519</v>
      </c>
      <c r="T23" s="121" t="s">
        <v>772</v>
      </c>
    </row>
    <row r="24" customFormat="false" ht="26.1" hidden="false" customHeight="false" outlineLevel="0" collapsed="false">
      <c r="B24" s="82" t="s">
        <v>773</v>
      </c>
      <c r="C24" s="81" t="s">
        <v>530</v>
      </c>
      <c r="F24" s="81" t="s">
        <v>530</v>
      </c>
      <c r="K24" s="81" t="n">
        <v>3</v>
      </c>
      <c r="N24" s="113" t="s">
        <v>526</v>
      </c>
      <c r="O24" s="81" t="n">
        <v>18</v>
      </c>
      <c r="P24" s="81" t="n">
        <v>3</v>
      </c>
      <c r="Q24" s="81" t="s">
        <v>399</v>
      </c>
      <c r="R24" s="81" t="s">
        <v>389</v>
      </c>
      <c r="S24" s="109" t="n">
        <v>45593.6249811227</v>
      </c>
      <c r="T24" s="54" t="s">
        <v>155</v>
      </c>
    </row>
    <row r="25" customFormat="false" ht="101.1" hidden="false" customHeight="false" outlineLevel="0" collapsed="false">
      <c r="C25" s="81" t="s">
        <v>530</v>
      </c>
      <c r="D25" s="81" t="s">
        <v>520</v>
      </c>
      <c r="G25" s="81" t="s">
        <v>520</v>
      </c>
      <c r="H25" s="102" t="s">
        <v>774</v>
      </c>
      <c r="I25" s="81" t="s">
        <v>520</v>
      </c>
      <c r="L25" s="82" t="s">
        <v>520</v>
      </c>
      <c r="N25" s="120" t="s">
        <v>522</v>
      </c>
      <c r="O25" s="81" t="n">
        <v>19</v>
      </c>
      <c r="P25" s="81" t="n">
        <v>3</v>
      </c>
      <c r="Q25" s="81" t="s">
        <v>394</v>
      </c>
      <c r="R25" s="81" t="s">
        <v>534</v>
      </c>
      <c r="S25" s="109" t="n">
        <v>45593.6249811227</v>
      </c>
      <c r="T25" s="121" t="s">
        <v>775</v>
      </c>
    </row>
    <row r="26" customFormat="false" ht="15" hidden="false" customHeight="false" outlineLevel="0" collapsed="false">
      <c r="C26" s="81" t="s">
        <v>530</v>
      </c>
      <c r="F26" s="81" t="s">
        <v>520</v>
      </c>
      <c r="K26" s="81" t="n">
        <v>3</v>
      </c>
      <c r="N26" s="113" t="s">
        <v>526</v>
      </c>
      <c r="O26" s="81" t="n">
        <v>20</v>
      </c>
      <c r="P26" s="81" t="n">
        <v>3</v>
      </c>
      <c r="Q26" s="81" t="s">
        <v>394</v>
      </c>
      <c r="R26" s="81" t="s">
        <v>534</v>
      </c>
      <c r="S26" s="109" t="n">
        <v>45593.6257410648</v>
      </c>
      <c r="T26" s="54" t="n">
        <v>2</v>
      </c>
    </row>
    <row r="27" customFormat="false" ht="101.1" hidden="false" customHeight="false" outlineLevel="0" collapsed="false">
      <c r="C27" s="81" t="s">
        <v>530</v>
      </c>
      <c r="D27" s="81" t="s">
        <v>520</v>
      </c>
      <c r="I27" s="81" t="s">
        <v>520</v>
      </c>
      <c r="L27" s="82" t="s">
        <v>520</v>
      </c>
      <c r="N27" s="120" t="s">
        <v>522</v>
      </c>
      <c r="O27" s="81" t="n">
        <v>21</v>
      </c>
      <c r="P27" s="81" t="n">
        <v>3</v>
      </c>
      <c r="Q27" s="81" t="s">
        <v>405</v>
      </c>
      <c r="R27" s="81" t="s">
        <v>534</v>
      </c>
      <c r="S27" s="109" t="n">
        <v>45593.6257410648</v>
      </c>
      <c r="T27" s="121" t="s">
        <v>776</v>
      </c>
    </row>
    <row r="28" customFormat="false" ht="15" hidden="false" customHeight="false" outlineLevel="0" collapsed="false">
      <c r="F28" s="81" t="s">
        <v>520</v>
      </c>
      <c r="K28" s="81" t="n">
        <v>3</v>
      </c>
      <c r="N28" s="113" t="s">
        <v>526</v>
      </c>
      <c r="O28" s="81" t="n">
        <v>22</v>
      </c>
      <c r="P28" s="81" t="n">
        <v>3</v>
      </c>
      <c r="Q28" s="81" t="s">
        <v>405</v>
      </c>
      <c r="R28" s="81" t="s">
        <v>534</v>
      </c>
      <c r="S28" s="109" t="n">
        <v>45593.6261886458</v>
      </c>
      <c r="T28" s="54" t="n">
        <v>3</v>
      </c>
    </row>
    <row r="29" customFormat="false" ht="88.6" hidden="false" customHeight="false" outlineLevel="0" collapsed="false">
      <c r="C29" s="81" t="s">
        <v>530</v>
      </c>
      <c r="D29" s="81" t="s">
        <v>520</v>
      </c>
      <c r="I29" s="81" t="s">
        <v>520</v>
      </c>
      <c r="L29" s="82" t="s">
        <v>520</v>
      </c>
      <c r="N29" s="120" t="s">
        <v>522</v>
      </c>
      <c r="O29" s="81" t="n">
        <v>23</v>
      </c>
      <c r="P29" s="81" t="n">
        <v>3</v>
      </c>
      <c r="Q29" s="81" t="s">
        <v>403</v>
      </c>
      <c r="R29" s="81" t="s">
        <v>534</v>
      </c>
      <c r="S29" s="109" t="n">
        <v>45593.6261886458</v>
      </c>
      <c r="T29" s="121" t="s">
        <v>777</v>
      </c>
    </row>
    <row r="30" customFormat="false" ht="15" hidden="false" customHeight="false" outlineLevel="0" collapsed="false">
      <c r="F30" s="81" t="s">
        <v>520</v>
      </c>
      <c r="K30" s="81" t="n">
        <v>3</v>
      </c>
      <c r="N30" s="113" t="s">
        <v>526</v>
      </c>
      <c r="O30" s="81" t="n">
        <v>24</v>
      </c>
      <c r="P30" s="81" t="n">
        <v>3</v>
      </c>
      <c r="Q30" s="81" t="s">
        <v>403</v>
      </c>
      <c r="R30" s="81" t="s">
        <v>534</v>
      </c>
      <c r="S30" s="109" t="n">
        <v>45593.6266859259</v>
      </c>
      <c r="T30" s="54" t="n">
        <v>4</v>
      </c>
    </row>
    <row r="31" customFormat="false" ht="51.1" hidden="false" customHeight="false" outlineLevel="0" collapsed="false">
      <c r="D31" s="81" t="s">
        <v>520</v>
      </c>
      <c r="I31" s="81" t="s">
        <v>520</v>
      </c>
      <c r="L31" s="82" t="s">
        <v>520</v>
      </c>
      <c r="N31" s="120" t="s">
        <v>522</v>
      </c>
      <c r="O31" s="81" t="n">
        <v>25</v>
      </c>
      <c r="P31" s="81" t="n">
        <v>5</v>
      </c>
      <c r="Q31" s="81" t="s">
        <v>403</v>
      </c>
      <c r="R31" s="81" t="s">
        <v>389</v>
      </c>
      <c r="S31" s="109" t="n">
        <v>45593.6266859259</v>
      </c>
      <c r="T31" s="121" t="s">
        <v>778</v>
      </c>
    </row>
    <row r="32" customFormat="false" ht="26.1" hidden="false" customHeight="false" outlineLevel="0" collapsed="false">
      <c r="B32" s="82" t="s">
        <v>779</v>
      </c>
      <c r="C32" s="81" t="s">
        <v>530</v>
      </c>
      <c r="F32" s="81" t="s">
        <v>520</v>
      </c>
      <c r="K32" s="81" t="n">
        <v>3</v>
      </c>
      <c r="N32" s="113" t="s">
        <v>526</v>
      </c>
      <c r="O32" s="81" t="n">
        <v>26</v>
      </c>
      <c r="P32" s="81" t="n">
        <v>5</v>
      </c>
      <c r="Q32" s="81" t="s">
        <v>403</v>
      </c>
      <c r="R32" s="81" t="s">
        <v>389</v>
      </c>
      <c r="S32" s="109" t="n">
        <v>45593.6274057176</v>
      </c>
      <c r="T32" s="54" t="s">
        <v>156</v>
      </c>
    </row>
    <row r="33" customFormat="false" ht="88.6" hidden="false" customHeight="false" outlineLevel="0" collapsed="false">
      <c r="C33" s="81" t="s">
        <v>520</v>
      </c>
      <c r="D33" s="81" t="s">
        <v>520</v>
      </c>
      <c r="I33" s="81" t="s">
        <v>520</v>
      </c>
      <c r="L33" s="82" t="s">
        <v>520</v>
      </c>
      <c r="N33" s="120" t="s">
        <v>522</v>
      </c>
      <c r="O33" s="81" t="n">
        <v>27</v>
      </c>
      <c r="P33" s="81" t="n">
        <v>5</v>
      </c>
      <c r="Q33" s="81" t="s">
        <v>393</v>
      </c>
      <c r="R33" s="81" t="s">
        <v>534</v>
      </c>
      <c r="S33" s="109" t="n">
        <v>45593.6274057176</v>
      </c>
      <c r="T33" s="121" t="s">
        <v>780</v>
      </c>
    </row>
    <row r="34" customFormat="false" ht="15" hidden="false" customHeight="false" outlineLevel="0" collapsed="false">
      <c r="C34" s="81" t="s">
        <v>520</v>
      </c>
      <c r="F34" s="81" t="s">
        <v>520</v>
      </c>
      <c r="K34" s="81" t="n">
        <v>3</v>
      </c>
      <c r="N34" s="113" t="s">
        <v>526</v>
      </c>
      <c r="O34" s="81" t="n">
        <v>28</v>
      </c>
      <c r="P34" s="81" t="n">
        <v>5</v>
      </c>
      <c r="Q34" s="81" t="s">
        <v>393</v>
      </c>
      <c r="R34" s="81" t="s">
        <v>534</v>
      </c>
      <c r="S34" s="109" t="n">
        <v>45593.6279157176</v>
      </c>
      <c r="T34" s="54" t="n">
        <v>3</v>
      </c>
    </row>
    <row r="35" customFormat="false" ht="63.6" hidden="false" customHeight="false" outlineLevel="0" collapsed="false">
      <c r="C35" s="81" t="s">
        <v>530</v>
      </c>
      <c r="D35" s="81" t="s">
        <v>520</v>
      </c>
      <c r="I35" s="81" t="s">
        <v>520</v>
      </c>
      <c r="L35" s="82" t="s">
        <v>520</v>
      </c>
      <c r="N35" s="120" t="s">
        <v>522</v>
      </c>
      <c r="O35" s="81" t="n">
        <v>29</v>
      </c>
      <c r="P35" s="81" t="n">
        <v>5</v>
      </c>
      <c r="Q35" s="81" t="s">
        <v>394</v>
      </c>
      <c r="R35" s="81" t="s">
        <v>534</v>
      </c>
      <c r="S35" s="109" t="n">
        <v>45593.6279157176</v>
      </c>
      <c r="T35" s="121" t="s">
        <v>781</v>
      </c>
    </row>
    <row r="36" customFormat="false" ht="15" hidden="false" customHeight="false" outlineLevel="0" collapsed="false">
      <c r="F36" s="81" t="s">
        <v>520</v>
      </c>
      <c r="K36" s="81" t="n">
        <v>3</v>
      </c>
      <c r="N36" s="113" t="s">
        <v>526</v>
      </c>
      <c r="O36" s="81" t="n">
        <v>30</v>
      </c>
      <c r="P36" s="81" t="n">
        <v>5</v>
      </c>
      <c r="Q36" s="81" t="s">
        <v>394</v>
      </c>
      <c r="R36" s="81" t="s">
        <v>534</v>
      </c>
      <c r="S36" s="109" t="n">
        <v>45593.6285202199</v>
      </c>
      <c r="T36" s="54" t="n">
        <v>3</v>
      </c>
    </row>
    <row r="37" customFormat="false" ht="63.6" hidden="false" customHeight="false" outlineLevel="0" collapsed="false">
      <c r="D37" s="81" t="s">
        <v>520</v>
      </c>
      <c r="I37" s="81" t="s">
        <v>520</v>
      </c>
      <c r="L37" s="82" t="s">
        <v>520</v>
      </c>
      <c r="N37" s="120" t="s">
        <v>522</v>
      </c>
      <c r="O37" s="81" t="n">
        <v>31</v>
      </c>
      <c r="P37" s="81" t="n">
        <v>5</v>
      </c>
      <c r="Q37" s="81" t="s">
        <v>398</v>
      </c>
      <c r="R37" s="81" t="s">
        <v>534</v>
      </c>
      <c r="S37" s="109" t="n">
        <v>45593.6285202199</v>
      </c>
      <c r="T37" s="121" t="s">
        <v>782</v>
      </c>
    </row>
    <row r="38" customFormat="false" ht="15" hidden="false" customHeight="false" outlineLevel="0" collapsed="false">
      <c r="F38" s="81" t="s">
        <v>520</v>
      </c>
      <c r="K38" s="81" t="n">
        <v>3</v>
      </c>
      <c r="N38" s="113" t="s">
        <v>526</v>
      </c>
      <c r="O38" s="81" t="n">
        <v>32</v>
      </c>
      <c r="P38" s="81" t="n">
        <v>5</v>
      </c>
      <c r="Q38" s="81" t="s">
        <v>398</v>
      </c>
      <c r="R38" s="81" t="s">
        <v>534</v>
      </c>
      <c r="S38" s="109" t="n">
        <v>45593.6289426505</v>
      </c>
      <c r="T38" s="54" t="n">
        <v>4</v>
      </c>
    </row>
    <row r="39" customFormat="false" ht="63.6" hidden="false" customHeight="false" outlineLevel="0" collapsed="false">
      <c r="D39" s="81" t="s">
        <v>530</v>
      </c>
      <c r="E39" s="82" t="s">
        <v>783</v>
      </c>
      <c r="I39" s="81" t="s">
        <v>520</v>
      </c>
      <c r="L39" s="82" t="s">
        <v>520</v>
      </c>
      <c r="N39" s="120" t="s">
        <v>522</v>
      </c>
      <c r="O39" s="81" t="n">
        <v>33</v>
      </c>
      <c r="P39" s="81" t="n">
        <v>2</v>
      </c>
      <c r="Q39" s="81" t="s">
        <v>398</v>
      </c>
      <c r="R39" s="81" t="s">
        <v>389</v>
      </c>
      <c r="S39" s="109" t="n">
        <v>45593.6289426505</v>
      </c>
      <c r="T39" s="121" t="s">
        <v>784</v>
      </c>
    </row>
    <row r="40" customFormat="false" ht="15" hidden="false" customHeight="false" outlineLevel="0" collapsed="false">
      <c r="B40" s="82" t="s">
        <v>785</v>
      </c>
      <c r="C40" s="81" t="s">
        <v>530</v>
      </c>
      <c r="F40" s="81" t="s">
        <v>520</v>
      </c>
      <c r="K40" s="81" t="n">
        <v>3</v>
      </c>
      <c r="N40" s="113" t="s">
        <v>526</v>
      </c>
      <c r="O40" s="81" t="n">
        <v>34</v>
      </c>
      <c r="P40" s="81" t="n">
        <v>2</v>
      </c>
      <c r="Q40" s="81" t="s">
        <v>398</v>
      </c>
      <c r="R40" s="81" t="s">
        <v>389</v>
      </c>
      <c r="S40" s="109" t="n">
        <v>45593.6306851273</v>
      </c>
      <c r="T40" s="54" t="s">
        <v>157</v>
      </c>
    </row>
    <row r="41" customFormat="false" ht="63.6" hidden="false" customHeight="false" outlineLevel="0" collapsed="false">
      <c r="C41" s="81" t="s">
        <v>530</v>
      </c>
      <c r="D41" s="81" t="s">
        <v>520</v>
      </c>
      <c r="I41" s="81" t="s">
        <v>520</v>
      </c>
      <c r="L41" s="82" t="s">
        <v>520</v>
      </c>
      <c r="N41" s="120" t="s">
        <v>522</v>
      </c>
      <c r="O41" s="81" t="n">
        <v>35</v>
      </c>
      <c r="P41" s="81" t="n">
        <v>2</v>
      </c>
      <c r="Q41" s="81" t="s">
        <v>398</v>
      </c>
      <c r="R41" s="81" t="s">
        <v>534</v>
      </c>
      <c r="S41" s="90" t="n">
        <v>45593.6306851273</v>
      </c>
      <c r="T41" s="121" t="s">
        <v>786</v>
      </c>
    </row>
    <row r="42" customFormat="false" ht="15" hidden="false" customHeight="false" outlineLevel="0" collapsed="false">
      <c r="F42" s="81" t="s">
        <v>520</v>
      </c>
      <c r="K42" s="81" t="n">
        <v>3</v>
      </c>
      <c r="N42" s="113" t="s">
        <v>526</v>
      </c>
      <c r="O42" s="81" t="n">
        <v>36</v>
      </c>
      <c r="P42" s="81" t="n">
        <v>2</v>
      </c>
      <c r="Q42" s="81" t="s">
        <v>398</v>
      </c>
      <c r="R42" s="81" t="s">
        <v>534</v>
      </c>
      <c r="S42" s="90" t="n">
        <v>45593.6317673148</v>
      </c>
      <c r="T42" s="54" t="n">
        <v>3</v>
      </c>
    </row>
    <row r="43" customFormat="false" ht="63.6" hidden="false" customHeight="false" outlineLevel="0" collapsed="false">
      <c r="D43" s="81" t="s">
        <v>520</v>
      </c>
      <c r="I43" s="81" t="s">
        <v>520</v>
      </c>
      <c r="L43" s="82" t="s">
        <v>520</v>
      </c>
      <c r="N43" s="120" t="s">
        <v>522</v>
      </c>
      <c r="O43" s="81" t="n">
        <v>37</v>
      </c>
      <c r="P43" s="81" t="n">
        <v>4</v>
      </c>
      <c r="Q43" s="81" t="s">
        <v>398</v>
      </c>
      <c r="R43" s="81" t="s">
        <v>389</v>
      </c>
      <c r="S43" s="90" t="n">
        <v>45593.6317673148</v>
      </c>
      <c r="T43" s="121" t="s">
        <v>787</v>
      </c>
    </row>
    <row r="44" customFormat="false" ht="15" hidden="false" customHeight="false" outlineLevel="0" collapsed="false">
      <c r="F44" s="81" t="s">
        <v>530</v>
      </c>
      <c r="K44" s="81" t="n">
        <v>3</v>
      </c>
      <c r="N44" s="113" t="s">
        <v>526</v>
      </c>
      <c r="O44" s="81" t="n">
        <v>38</v>
      </c>
      <c r="P44" s="81" t="n">
        <v>4</v>
      </c>
      <c r="Q44" s="81" t="s">
        <v>398</v>
      </c>
      <c r="R44" s="81" t="s">
        <v>389</v>
      </c>
      <c r="S44" s="90" t="n">
        <v>45593.6322379051</v>
      </c>
      <c r="T44" s="54" t="s">
        <v>158</v>
      </c>
    </row>
    <row r="45" customFormat="false" ht="15" hidden="false" customHeight="false" outlineLevel="0" collapsed="false">
      <c r="D45" s="81" t="s">
        <v>520</v>
      </c>
      <c r="G45" s="81" t="s">
        <v>520</v>
      </c>
      <c r="I45" s="81" t="s">
        <v>520</v>
      </c>
      <c r="L45" s="82" t="s">
        <v>520</v>
      </c>
      <c r="N45" s="120" t="s">
        <v>522</v>
      </c>
      <c r="O45" s="81" t="n">
        <v>39</v>
      </c>
      <c r="P45" s="81" t="n">
        <v>4</v>
      </c>
      <c r="Q45" s="81" t="s">
        <v>398</v>
      </c>
      <c r="R45" s="81" t="s">
        <v>389</v>
      </c>
      <c r="S45" s="90" t="n">
        <v>45593.6322379051</v>
      </c>
      <c r="T45" s="121" t="s">
        <v>788</v>
      </c>
    </row>
    <row r="46" customFormat="false" ht="15" hidden="false" customHeight="false" outlineLevel="0" collapsed="false">
      <c r="B46" s="82" t="s">
        <v>789</v>
      </c>
      <c r="C46" s="81" t="s">
        <v>520</v>
      </c>
      <c r="F46" s="81" t="s">
        <v>520</v>
      </c>
      <c r="K46" s="81" t="n">
        <v>3</v>
      </c>
      <c r="N46" s="113" t="s">
        <v>526</v>
      </c>
      <c r="O46" s="81" t="n">
        <v>40</v>
      </c>
      <c r="P46" s="81" t="n">
        <v>4</v>
      </c>
      <c r="Q46" s="81" t="s">
        <v>398</v>
      </c>
      <c r="R46" s="81" t="s">
        <v>389</v>
      </c>
      <c r="S46" s="90" t="n">
        <v>45593.6327374653</v>
      </c>
      <c r="T46" s="54" t="s">
        <v>159</v>
      </c>
    </row>
    <row r="47" customFormat="false" ht="63.6" hidden="false" customHeight="false" outlineLevel="0" collapsed="false">
      <c r="C47" s="81" t="s">
        <v>520</v>
      </c>
      <c r="D47" s="81" t="s">
        <v>520</v>
      </c>
      <c r="I47" s="81" t="s">
        <v>520</v>
      </c>
      <c r="L47" s="82" t="s">
        <v>520</v>
      </c>
      <c r="N47" s="120" t="s">
        <v>522</v>
      </c>
      <c r="O47" s="81" t="n">
        <v>41</v>
      </c>
      <c r="P47" s="81" t="n">
        <v>4</v>
      </c>
      <c r="Q47" s="81" t="s">
        <v>396</v>
      </c>
      <c r="R47" s="81" t="s">
        <v>534</v>
      </c>
      <c r="S47" s="90" t="n">
        <v>45593.6327374653</v>
      </c>
      <c r="T47" s="121" t="s">
        <v>790</v>
      </c>
    </row>
    <row r="48" customFormat="false" ht="15" hidden="false" customHeight="false" outlineLevel="0" collapsed="false">
      <c r="F48" s="81" t="s">
        <v>520</v>
      </c>
      <c r="K48" s="81" t="n">
        <v>3</v>
      </c>
      <c r="N48" s="113" t="s">
        <v>526</v>
      </c>
      <c r="O48" s="81" t="n">
        <v>42</v>
      </c>
      <c r="P48" s="81" t="n">
        <v>4</v>
      </c>
      <c r="Q48" s="81" t="s">
        <v>396</v>
      </c>
      <c r="R48" s="81" t="s">
        <v>534</v>
      </c>
      <c r="S48" s="90" t="n">
        <v>45593.6332100347</v>
      </c>
      <c r="T48" s="54" t="n">
        <v>4</v>
      </c>
    </row>
    <row r="49" customFormat="false" ht="63.6" hidden="false" customHeight="false" outlineLevel="0" collapsed="false">
      <c r="D49" s="81" t="s">
        <v>520</v>
      </c>
      <c r="I49" s="81" t="s">
        <v>520</v>
      </c>
      <c r="L49" s="82" t="s">
        <v>520</v>
      </c>
      <c r="N49" s="120" t="s">
        <v>522</v>
      </c>
      <c r="O49" s="81" t="n">
        <v>43</v>
      </c>
      <c r="P49" s="81" t="n">
        <v>4</v>
      </c>
      <c r="Q49" s="81" t="s">
        <v>408</v>
      </c>
      <c r="R49" s="81" t="s">
        <v>534</v>
      </c>
      <c r="S49" s="90" t="n">
        <v>45593.6332100347</v>
      </c>
      <c r="T49" s="121" t="s">
        <v>791</v>
      </c>
    </row>
    <row r="50" customFormat="false" ht="15" hidden="false" customHeight="false" outlineLevel="0" collapsed="false">
      <c r="F50" s="81" t="s">
        <v>520</v>
      </c>
      <c r="K50" s="81" t="n">
        <v>3</v>
      </c>
      <c r="N50" s="113" t="s">
        <v>526</v>
      </c>
      <c r="O50" s="81" t="n">
        <v>44</v>
      </c>
      <c r="P50" s="81" t="n">
        <v>4</v>
      </c>
      <c r="Q50" s="81" t="s">
        <v>408</v>
      </c>
      <c r="R50" s="81" t="s">
        <v>534</v>
      </c>
      <c r="S50" s="90" t="n">
        <v>45593.6334829398</v>
      </c>
      <c r="T50" s="54" t="n">
        <v>4</v>
      </c>
    </row>
    <row r="51" customFormat="false" ht="238.6" hidden="false" customHeight="false" outlineLevel="0" collapsed="false">
      <c r="D51" s="81" t="s">
        <v>530</v>
      </c>
      <c r="E51" s="82" t="s">
        <v>792</v>
      </c>
      <c r="I51" s="81" t="s">
        <v>520</v>
      </c>
      <c r="L51" s="82" t="s">
        <v>520</v>
      </c>
      <c r="N51" s="120" t="s">
        <v>522</v>
      </c>
      <c r="O51" s="81" t="n">
        <v>45</v>
      </c>
      <c r="Q51" s="81" t="s">
        <v>408</v>
      </c>
      <c r="R51" s="81" t="s">
        <v>585</v>
      </c>
      <c r="S51" s="90" t="n">
        <v>45593.6334829398</v>
      </c>
      <c r="T51" s="121" t="s">
        <v>793</v>
      </c>
    </row>
    <row r="52" customFormat="false" ht="15" hidden="false" customHeight="false" outlineLevel="0" collapsed="false">
      <c r="N52" s="109"/>
      <c r="S52" s="109"/>
    </row>
    <row r="53" customFormat="false" ht="15" hidden="false" customHeight="false" outlineLevel="0" collapsed="false">
      <c r="N53" s="109"/>
      <c r="S53" s="109"/>
    </row>
    <row r="54" customFormat="false" ht="15" hidden="false" customHeight="false" outlineLevel="0" collapsed="false">
      <c r="N54" s="109"/>
      <c r="S54" s="109"/>
    </row>
    <row r="55" customFormat="false" ht="15" hidden="false" customHeight="false" outlineLevel="0" collapsed="false">
      <c r="N55" s="109"/>
      <c r="S55" s="109"/>
    </row>
    <row r="56" customFormat="false" ht="15" hidden="false" customHeight="false" outlineLevel="0" collapsed="false">
      <c r="N56" s="109"/>
      <c r="S56" s="109"/>
    </row>
    <row r="57" customFormat="false" ht="15" hidden="false" customHeight="false" outlineLevel="0" collapsed="false">
      <c r="N57" s="109"/>
      <c r="S57" s="109"/>
    </row>
    <row r="58" customFormat="false" ht="15" hidden="false" customHeight="false" outlineLevel="0" collapsed="false">
      <c r="N58" s="109"/>
      <c r="S58" s="109"/>
    </row>
    <row r="59" customFormat="false" ht="15" hidden="false" customHeight="false" outlineLevel="0" collapsed="false">
      <c r="N59" s="109"/>
      <c r="S59" s="109"/>
    </row>
    <row r="60" customFormat="false" ht="15" hidden="false" customHeight="false" outlineLevel="0" collapsed="false">
      <c r="N60" s="109"/>
      <c r="S60" s="109"/>
    </row>
    <row r="61" customFormat="false" ht="15" hidden="false" customHeight="false" outlineLevel="0" collapsed="false">
      <c r="N61" s="110"/>
      <c r="S61" s="110"/>
    </row>
  </sheetData>
  <conditionalFormatting sqref="N2:S6">
    <cfRule type="expression" priority="2" aboveAverage="0" equalAverage="0" bottom="0" percent="0" rank="0" text="" dxfId="47">
      <formula>$N2="agent"</formula>
    </cfRule>
  </conditionalFormatting>
  <conditionalFormatting sqref="O41:S51">
    <cfRule type="expression" priority="3" aboveAverage="0" equalAverage="0" bottom="0" percent="0" rank="0" text="" dxfId="48">
      <formula>$N41="agent"</formula>
    </cfRule>
  </conditionalFormatting>
  <conditionalFormatting sqref="N52:S105">
    <cfRule type="expression" priority="4" aboveAverage="0" equalAverage="0" bottom="0" percent="0" rank="0" text="" dxfId="49">
      <formula>$N52="agent"</formula>
    </cfRule>
  </conditionalFormatting>
  <conditionalFormatting sqref="S2">
    <cfRule type="expression" priority="5" aboveAverage="0" equalAverage="0" bottom="0" percent="0" rank="0" text="" dxfId="50">
      <formula>$N3="agent"</formula>
    </cfRule>
  </conditionalFormatting>
  <conditionalFormatting sqref="A1:S1 T1:XFD3 O7:S39">
    <cfRule type="expression" priority="6" aboveAverage="0" equalAverage="0" bottom="0" percent="0" rank="0" text="" dxfId="51">
      <formula>$N1="agent"</formula>
    </cfRule>
  </conditionalFormatting>
  <conditionalFormatting sqref="O40:S40">
    <cfRule type="expression" priority="7" aboveAverage="0" equalAverage="0" bottom="0" percent="0" rank="0" text="" dxfId="52">
      <formula>#ref!="agent"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39" activePane="bottomLeft" state="frozen"/>
      <selection pane="topLeft" activeCell="A1" activeCellId="0" sqref="A1"/>
      <selection pane="bottomLeft" activeCell="R43" activeCellId="0" sqref="R43"/>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9.43"/>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86"/>
    <col collapsed="false" customWidth="true" hidden="false" outlineLevel="0" max="19" min="19" style="81" width="18.14"/>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n">
        <f aca="false">COUNTIF(C7:C100,"y")/(COUNTIF(C7:C100,"y")+COUNTIF(C7:C100,"n"))</f>
        <v>0.6</v>
      </c>
      <c r="D2" s="86" t="n">
        <f aca="false">COUNTIF(D7:D100,"y")/(COUNTIF(D7:D100,"y")+COUNTIF(D7:D100,"n"))</f>
        <v>0.842105263157895</v>
      </c>
      <c r="E2" s="86"/>
      <c r="F2" s="86" t="n">
        <f aca="false">COUNTIF(F7:F100,"y")/(COUNTIF(F7:F100,"y")+COUNTIF(F7:F100,"n"))</f>
        <v>0.833333333333333</v>
      </c>
      <c r="G2" s="86" t="n">
        <f aca="false">COUNTIF(G7:G100,"y")/(COUNTIF(G7:G100,"y")+COUNTIF(G7:G100,"n"))</f>
        <v>1</v>
      </c>
      <c r="H2" s="86"/>
      <c r="I2" s="86" t="n">
        <f aca="false">COUNTIF(I7:I100,"y")/(COUNTIF(I7:I100,"y")+COUNTIF(I7:I100,"n"))</f>
        <v>0.263157894736842</v>
      </c>
      <c r="J2" s="86"/>
      <c r="K2" s="86" t="n">
        <f aca="false">COUNTIF(K7:K100,"1")</f>
        <v>0</v>
      </c>
      <c r="L2" s="86" t="n">
        <f aca="false">COUNTIF(L7:L100,"y")/(COUNTIF(L7:L100,"y")+COUNTIF(L7:L100,"n"))</f>
        <v>0.222222222222222</v>
      </c>
      <c r="M2" s="86"/>
      <c r="O2" s="87" t="n">
        <f aca="false" t="array" ref="O2:O2">LOOKUP(2,1/(O:O&lt;&gt;""),O:O)</f>
        <v>37</v>
      </c>
      <c r="R2" s="83" t="n">
        <f aca="false">COUNTIF(R7:R100,"strategy")/2</f>
        <v>9</v>
      </c>
      <c r="S2" s="88" t="n">
        <f aca="false" t="array" ref="S2:S2">LOOKUP(2,1/(S:S&lt;&gt;""),S:S)-S7</f>
        <v>0.0104354166687616</v>
      </c>
      <c r="T2" s="85"/>
    </row>
    <row r="3" s="83" customFormat="true" ht="15" hidden="false" customHeight="false" outlineLevel="0" collapsed="false">
      <c r="B3" s="89"/>
      <c r="C3" s="89"/>
      <c r="D3" s="89"/>
      <c r="E3" s="89"/>
      <c r="F3" s="89"/>
      <c r="G3" s="89"/>
      <c r="H3" s="89"/>
      <c r="I3" s="89"/>
      <c r="J3" s="89"/>
      <c r="K3" s="86" t="n">
        <f aca="false">COUNTIF(K7:K100,"2")</f>
        <v>2</v>
      </c>
      <c r="L3" s="89"/>
      <c r="M3" s="89"/>
      <c r="R3" s="83" t="n">
        <f aca="false">COUNTIF(R7:R100,"frequency")/2</f>
        <v>7</v>
      </c>
      <c r="T3" s="85"/>
    </row>
    <row r="4" s="83" customFormat="true" ht="15" hidden="false" customHeight="false" outlineLevel="0" collapsed="false">
      <c r="B4" s="89"/>
      <c r="C4" s="89"/>
      <c r="D4" s="89"/>
      <c r="E4" s="89"/>
      <c r="F4" s="89"/>
      <c r="G4" s="89"/>
      <c r="H4" s="89"/>
      <c r="I4" s="89"/>
      <c r="J4" s="89"/>
      <c r="K4" s="86" t="n">
        <f aca="false">COUNTIF(K7:K100,"3")</f>
        <v>16</v>
      </c>
      <c r="L4" s="89"/>
      <c r="M4" s="89"/>
      <c r="R4" s="83" t="n">
        <f aca="false">CEILING(COUNTIF(R7:R100,"complete")/2,1)</f>
        <v>2</v>
      </c>
      <c r="T4" s="85"/>
    </row>
    <row r="5" s="83" customFormat="true" ht="15" hidden="false" customHeight="false" outlineLevel="0" collapsed="false">
      <c r="B5" s="89"/>
      <c r="C5" s="89"/>
      <c r="D5" s="89"/>
      <c r="E5" s="89"/>
      <c r="F5" s="89"/>
      <c r="G5" s="89"/>
      <c r="H5" s="89"/>
      <c r="I5" s="89"/>
      <c r="J5" s="89"/>
      <c r="K5" s="86" t="n">
        <f aca="false">COUNTIF(K7:K100,"4")</f>
        <v>0</v>
      </c>
      <c r="L5" s="89"/>
      <c r="M5" s="89"/>
      <c r="T5" s="85"/>
    </row>
    <row r="6" s="92" customFormat="true" ht="15" hidden="false" customHeight="false" outlineLevel="0" collapsed="false">
      <c r="B6" s="93"/>
      <c r="C6" s="93"/>
      <c r="D6" s="93"/>
      <c r="E6" s="93"/>
      <c r="F6" s="93"/>
      <c r="G6" s="93"/>
      <c r="H6" s="93"/>
      <c r="I6" s="93"/>
      <c r="J6" s="93"/>
      <c r="K6" s="94" t="n">
        <f aca="false">COUNTIF(K7:K100,"5")</f>
        <v>0</v>
      </c>
      <c r="L6" s="93"/>
      <c r="M6" s="93"/>
      <c r="T6" s="95"/>
    </row>
    <row r="7" s="96" customFormat="true" ht="26.1" hidden="false" customHeight="false" outlineLevel="0" collapsed="false">
      <c r="B7" s="97"/>
      <c r="D7" s="96" t="s">
        <v>520</v>
      </c>
      <c r="E7" s="97"/>
      <c r="I7" s="96" t="s">
        <v>520</v>
      </c>
      <c r="J7" s="97"/>
      <c r="L7" s="97" t="s">
        <v>525</v>
      </c>
      <c r="M7" s="97"/>
      <c r="N7" s="111" t="s">
        <v>522</v>
      </c>
      <c r="O7" s="96" t="n">
        <v>1</v>
      </c>
      <c r="R7" s="96" t="s">
        <v>523</v>
      </c>
      <c r="S7" s="98" t="n">
        <v>45582.6630715278</v>
      </c>
      <c r="T7" s="112" t="s">
        <v>794</v>
      </c>
    </row>
    <row r="8" customFormat="false" ht="15" hidden="false" customHeight="false" outlineLevel="0" collapsed="false">
      <c r="F8" s="81" t="s">
        <v>520</v>
      </c>
      <c r="K8" s="81" t="n">
        <v>3</v>
      </c>
      <c r="N8" s="113" t="s">
        <v>526</v>
      </c>
      <c r="O8" s="81" t="n">
        <v>2</v>
      </c>
      <c r="R8" s="81" t="s">
        <v>523</v>
      </c>
      <c r="S8" s="90" t="n">
        <v>45582.6634816319</v>
      </c>
      <c r="T8" s="54" t="s">
        <v>160</v>
      </c>
    </row>
    <row r="9" customFormat="false" ht="38.6" hidden="false" customHeight="false" outlineLevel="0" collapsed="false">
      <c r="D9" s="81" t="s">
        <v>520</v>
      </c>
      <c r="I9" s="81" t="s">
        <v>520</v>
      </c>
      <c r="L9" s="82" t="s">
        <v>520</v>
      </c>
      <c r="N9" s="120" t="s">
        <v>522</v>
      </c>
      <c r="O9" s="81" t="n">
        <v>3</v>
      </c>
      <c r="P9" s="81" t="n">
        <v>11</v>
      </c>
      <c r="R9" s="81" t="s">
        <v>389</v>
      </c>
      <c r="S9" s="90" t="n">
        <v>45582.6634816319</v>
      </c>
      <c r="T9" s="121" t="s">
        <v>795</v>
      </c>
    </row>
    <row r="10" customFormat="false" ht="124.5" hidden="false" customHeight="true" outlineLevel="0" collapsed="false">
      <c r="B10" s="82" t="s">
        <v>796</v>
      </c>
      <c r="C10" s="81" t="s">
        <v>530</v>
      </c>
      <c r="F10" s="81" t="s">
        <v>520</v>
      </c>
      <c r="K10" s="81" t="n">
        <v>3</v>
      </c>
      <c r="N10" s="113" t="s">
        <v>526</v>
      </c>
      <c r="O10" s="81" t="n">
        <v>4</v>
      </c>
      <c r="P10" s="81" t="n">
        <v>11</v>
      </c>
      <c r="R10" s="81" t="s">
        <v>389</v>
      </c>
      <c r="S10" s="90" t="n">
        <v>45582.6638755093</v>
      </c>
      <c r="T10" s="54" t="s">
        <v>161</v>
      </c>
    </row>
    <row r="11" customFormat="false" ht="51.1" hidden="false" customHeight="false" outlineLevel="0" collapsed="false">
      <c r="C11" s="81" t="s">
        <v>520</v>
      </c>
      <c r="D11" s="81" t="s">
        <v>520</v>
      </c>
      <c r="I11" s="81" t="s">
        <v>530</v>
      </c>
      <c r="J11" s="82" t="s">
        <v>532</v>
      </c>
      <c r="L11" s="82" t="s">
        <v>530</v>
      </c>
      <c r="N11" s="111" t="s">
        <v>522</v>
      </c>
      <c r="O11" s="81" t="n">
        <v>5</v>
      </c>
      <c r="P11" s="81" t="n">
        <v>11</v>
      </c>
      <c r="Q11" s="81" t="s">
        <v>395</v>
      </c>
      <c r="R11" s="81" t="s">
        <v>534</v>
      </c>
      <c r="S11" s="90" t="n">
        <v>45582.6638755093</v>
      </c>
      <c r="T11" s="112" t="s">
        <v>797</v>
      </c>
    </row>
    <row r="12" customFormat="false" ht="15" hidden="false" customHeight="false" outlineLevel="0" collapsed="false">
      <c r="C12" s="81" t="s">
        <v>520</v>
      </c>
      <c r="F12" s="81" t="s">
        <v>520</v>
      </c>
      <c r="K12" s="81" t="n">
        <v>3</v>
      </c>
      <c r="N12" s="113" t="s">
        <v>526</v>
      </c>
      <c r="O12" s="81" t="n">
        <v>6</v>
      </c>
      <c r="P12" s="81" t="n">
        <v>11</v>
      </c>
      <c r="Q12" s="81" t="s">
        <v>395</v>
      </c>
      <c r="R12" s="81" t="s">
        <v>534</v>
      </c>
      <c r="S12" s="90" t="n">
        <v>45582.6642711227</v>
      </c>
      <c r="T12" s="54" t="n">
        <v>2</v>
      </c>
    </row>
    <row r="13" customFormat="false" ht="51.1" hidden="false" customHeight="false" outlineLevel="0" collapsed="false">
      <c r="D13" s="81" t="s">
        <v>520</v>
      </c>
      <c r="I13" s="81" t="s">
        <v>530</v>
      </c>
      <c r="J13" s="106" t="s">
        <v>532</v>
      </c>
      <c r="L13" s="82" t="s">
        <v>530</v>
      </c>
      <c r="N13" s="120" t="s">
        <v>522</v>
      </c>
      <c r="O13" s="81" t="n">
        <v>7</v>
      </c>
      <c r="P13" s="81" t="n">
        <v>11</v>
      </c>
      <c r="Q13" s="81" t="s">
        <v>398</v>
      </c>
      <c r="R13" s="81" t="s">
        <v>534</v>
      </c>
      <c r="S13" s="90" t="n">
        <v>45582.6642711227</v>
      </c>
      <c r="T13" s="121" t="s">
        <v>798</v>
      </c>
    </row>
    <row r="14" customFormat="false" ht="15" hidden="false" customHeight="false" outlineLevel="0" collapsed="false">
      <c r="F14" s="81" t="s">
        <v>520</v>
      </c>
      <c r="K14" s="81" t="n">
        <v>3</v>
      </c>
      <c r="N14" s="113" t="s">
        <v>526</v>
      </c>
      <c r="O14" s="81" t="n">
        <v>8</v>
      </c>
      <c r="P14" s="81" t="n">
        <v>11</v>
      </c>
      <c r="Q14" s="81" t="s">
        <v>398</v>
      </c>
      <c r="R14" s="81" t="s">
        <v>534</v>
      </c>
      <c r="S14" s="90" t="n">
        <v>45582.6645750926</v>
      </c>
      <c r="T14" s="54" t="n">
        <v>4</v>
      </c>
    </row>
    <row r="15" customFormat="false" ht="88.6" hidden="false" customHeight="false" outlineLevel="0" collapsed="false">
      <c r="D15" s="81" t="s">
        <v>520</v>
      </c>
      <c r="I15" s="81" t="s">
        <v>530</v>
      </c>
      <c r="J15" s="106" t="s">
        <v>532</v>
      </c>
      <c r="L15" s="82" t="s">
        <v>530</v>
      </c>
      <c r="N15" s="111" t="s">
        <v>522</v>
      </c>
      <c r="O15" s="81" t="n">
        <v>9</v>
      </c>
      <c r="P15" s="81" t="n">
        <v>9</v>
      </c>
      <c r="Q15" s="81" t="s">
        <v>398</v>
      </c>
      <c r="R15" s="81" t="s">
        <v>389</v>
      </c>
      <c r="S15" s="90" t="n">
        <v>45582.6645750926</v>
      </c>
      <c r="T15" s="112" t="s">
        <v>799</v>
      </c>
    </row>
    <row r="16" customFormat="false" ht="26.1" hidden="false" customHeight="false" outlineLevel="0" collapsed="false">
      <c r="B16" s="82" t="s">
        <v>768</v>
      </c>
      <c r="C16" s="81" t="s">
        <v>530</v>
      </c>
      <c r="F16" s="81" t="s">
        <v>520</v>
      </c>
      <c r="K16" s="81" t="n">
        <v>3</v>
      </c>
      <c r="N16" s="113" t="s">
        <v>526</v>
      </c>
      <c r="O16" s="81" t="n">
        <v>10</v>
      </c>
      <c r="P16" s="81" t="n">
        <v>9</v>
      </c>
      <c r="Q16" s="81" t="s">
        <v>398</v>
      </c>
      <c r="R16" s="81" t="s">
        <v>389</v>
      </c>
      <c r="S16" s="90" t="n">
        <v>45582.6653517824</v>
      </c>
      <c r="T16" s="54" t="s">
        <v>162</v>
      </c>
    </row>
    <row r="17" customFormat="false" ht="101.1" hidden="false" customHeight="false" outlineLevel="0" collapsed="false">
      <c r="C17" s="81" t="s">
        <v>520</v>
      </c>
      <c r="D17" s="81" t="s">
        <v>520</v>
      </c>
      <c r="I17" s="81" t="s">
        <v>530</v>
      </c>
      <c r="J17" s="106" t="s">
        <v>532</v>
      </c>
      <c r="L17" s="82" t="s">
        <v>530</v>
      </c>
      <c r="N17" s="120" t="s">
        <v>522</v>
      </c>
      <c r="O17" s="81" t="n">
        <v>11</v>
      </c>
      <c r="P17" s="81" t="n">
        <v>9</v>
      </c>
      <c r="Q17" s="81" t="s">
        <v>398</v>
      </c>
      <c r="R17" s="81" t="s">
        <v>534</v>
      </c>
      <c r="S17" s="90" t="n">
        <v>45582.6653517824</v>
      </c>
      <c r="T17" s="121" t="s">
        <v>800</v>
      </c>
    </row>
    <row r="18" customFormat="false" ht="15" hidden="false" customHeight="false" outlineLevel="0" collapsed="false">
      <c r="F18" s="81" t="s">
        <v>520</v>
      </c>
      <c r="K18" s="81" t="n">
        <v>3</v>
      </c>
      <c r="N18" s="113" t="s">
        <v>526</v>
      </c>
      <c r="O18" s="81" t="n">
        <v>12</v>
      </c>
      <c r="P18" s="81" t="n">
        <v>9</v>
      </c>
      <c r="Q18" s="81" t="s">
        <v>398</v>
      </c>
      <c r="R18" s="81" t="s">
        <v>534</v>
      </c>
      <c r="S18" s="90" t="n">
        <v>45582.6657921412</v>
      </c>
      <c r="T18" s="54" t="n">
        <v>4</v>
      </c>
    </row>
    <row r="19" customFormat="false" ht="51.1" hidden="false" customHeight="false" outlineLevel="0" collapsed="false">
      <c r="D19" s="81" t="s">
        <v>520</v>
      </c>
      <c r="I19" s="81" t="s">
        <v>530</v>
      </c>
      <c r="J19" s="106" t="s">
        <v>532</v>
      </c>
      <c r="L19" s="82" t="s">
        <v>530</v>
      </c>
      <c r="N19" s="111" t="s">
        <v>522</v>
      </c>
      <c r="O19" s="81" t="n">
        <v>13</v>
      </c>
      <c r="P19" s="81" t="n">
        <v>8</v>
      </c>
      <c r="Q19" s="81" t="s">
        <v>398</v>
      </c>
      <c r="R19" s="81" t="s">
        <v>389</v>
      </c>
      <c r="S19" s="90" t="n">
        <v>45582.6657921412</v>
      </c>
      <c r="T19" s="112" t="s">
        <v>801</v>
      </c>
    </row>
    <row r="20" customFormat="false" ht="15" hidden="false" customHeight="false" outlineLevel="0" collapsed="false">
      <c r="B20" s="82" t="s">
        <v>398</v>
      </c>
      <c r="F20" s="81" t="s">
        <v>520</v>
      </c>
      <c r="K20" s="81" t="n">
        <v>3</v>
      </c>
      <c r="N20" s="113" t="s">
        <v>526</v>
      </c>
      <c r="O20" s="81" t="n">
        <v>14</v>
      </c>
      <c r="P20" s="81" t="n">
        <v>8</v>
      </c>
      <c r="Q20" s="81" t="s">
        <v>398</v>
      </c>
      <c r="R20" s="81" t="s">
        <v>389</v>
      </c>
      <c r="S20" s="90" t="n">
        <v>45582.6662740394</v>
      </c>
      <c r="T20" s="54" t="s">
        <v>163</v>
      </c>
    </row>
    <row r="21" customFormat="false" ht="51.1" hidden="false" customHeight="false" outlineLevel="0" collapsed="false">
      <c r="C21" s="81" t="s">
        <v>520</v>
      </c>
      <c r="D21" s="81" t="s">
        <v>530</v>
      </c>
      <c r="E21" s="82" t="s">
        <v>802</v>
      </c>
      <c r="I21" s="81" t="s">
        <v>530</v>
      </c>
      <c r="J21" s="106" t="s">
        <v>532</v>
      </c>
      <c r="L21" s="82" t="s">
        <v>530</v>
      </c>
      <c r="N21" s="120" t="s">
        <v>522</v>
      </c>
      <c r="O21" s="81" t="n">
        <v>15</v>
      </c>
      <c r="P21" s="81" t="n">
        <v>8</v>
      </c>
      <c r="Q21" s="81" t="s">
        <v>398</v>
      </c>
      <c r="R21" s="81" t="s">
        <v>534</v>
      </c>
      <c r="S21" s="90" t="n">
        <v>45582.6662740394</v>
      </c>
      <c r="T21" s="121" t="s">
        <v>803</v>
      </c>
    </row>
    <row r="22" customFormat="false" ht="15" hidden="false" customHeight="false" outlineLevel="0" collapsed="false">
      <c r="F22" s="81" t="s">
        <v>520</v>
      </c>
      <c r="K22" s="81" t="n">
        <v>3</v>
      </c>
      <c r="N22" s="113" t="s">
        <v>526</v>
      </c>
      <c r="O22" s="81" t="n">
        <v>16</v>
      </c>
      <c r="P22" s="81" t="n">
        <v>8</v>
      </c>
      <c r="Q22" s="81" t="s">
        <v>398</v>
      </c>
      <c r="R22" s="81" t="s">
        <v>534</v>
      </c>
      <c r="S22" s="90" t="n">
        <v>45582.6665425116</v>
      </c>
      <c r="T22" s="54" t="s">
        <v>98</v>
      </c>
    </row>
    <row r="23" customFormat="false" ht="51.1" hidden="false" customHeight="false" outlineLevel="0" collapsed="false">
      <c r="D23" s="81" t="s">
        <v>520</v>
      </c>
      <c r="I23" s="81" t="s">
        <v>530</v>
      </c>
      <c r="J23" s="106" t="s">
        <v>532</v>
      </c>
      <c r="L23" s="82" t="s">
        <v>530</v>
      </c>
      <c r="N23" s="111" t="s">
        <v>522</v>
      </c>
      <c r="O23" s="81" t="n">
        <v>17</v>
      </c>
      <c r="P23" s="81" t="n">
        <v>12</v>
      </c>
      <c r="Q23" s="81" t="s">
        <v>398</v>
      </c>
      <c r="R23" s="81" t="s">
        <v>389</v>
      </c>
      <c r="S23" s="90" t="n">
        <v>45582.6665425116</v>
      </c>
      <c r="T23" s="112" t="s">
        <v>804</v>
      </c>
    </row>
    <row r="24" customFormat="false" ht="15" hidden="false" customHeight="false" outlineLevel="0" collapsed="false">
      <c r="B24" s="82" t="s">
        <v>403</v>
      </c>
      <c r="C24" s="81" t="s">
        <v>530</v>
      </c>
      <c r="F24" s="81" t="s">
        <v>520</v>
      </c>
      <c r="K24" s="81" t="n">
        <v>3</v>
      </c>
      <c r="N24" s="113" t="s">
        <v>526</v>
      </c>
      <c r="O24" s="81" t="n">
        <v>18</v>
      </c>
      <c r="P24" s="81" t="n">
        <v>12</v>
      </c>
      <c r="Q24" s="81" t="s">
        <v>398</v>
      </c>
      <c r="R24" s="81" t="s">
        <v>389</v>
      </c>
      <c r="S24" s="90" t="n">
        <v>45582.667051331</v>
      </c>
      <c r="T24" s="54" t="s">
        <v>164</v>
      </c>
    </row>
    <row r="25" customFormat="false" ht="63.6" hidden="false" customHeight="false" outlineLevel="0" collapsed="false">
      <c r="C25" s="81" t="s">
        <v>530</v>
      </c>
      <c r="D25" s="81" t="s">
        <v>520</v>
      </c>
      <c r="I25" s="81" t="s">
        <v>530</v>
      </c>
      <c r="J25" s="106" t="s">
        <v>532</v>
      </c>
      <c r="L25" s="82" t="s">
        <v>530</v>
      </c>
      <c r="N25" s="120" t="s">
        <v>522</v>
      </c>
      <c r="O25" s="81" t="n">
        <v>19</v>
      </c>
      <c r="P25" s="81" t="n">
        <v>12</v>
      </c>
      <c r="Q25" s="81" t="s">
        <v>398</v>
      </c>
      <c r="R25" s="81" t="s">
        <v>534</v>
      </c>
      <c r="S25" s="90" t="n">
        <v>45582.667051331</v>
      </c>
      <c r="T25" s="121" t="s">
        <v>805</v>
      </c>
    </row>
    <row r="26" customFormat="false" ht="15" hidden="false" customHeight="false" outlineLevel="0" collapsed="false">
      <c r="F26" s="81" t="s">
        <v>520</v>
      </c>
      <c r="K26" s="81" t="n">
        <v>3</v>
      </c>
      <c r="N26" s="113" t="s">
        <v>526</v>
      </c>
      <c r="O26" s="81" t="n">
        <v>20</v>
      </c>
      <c r="P26" s="81" t="n">
        <v>12</v>
      </c>
      <c r="Q26" s="81" t="s">
        <v>398</v>
      </c>
      <c r="R26" s="81" t="s">
        <v>534</v>
      </c>
      <c r="S26" s="90" t="n">
        <v>45582.6673923264</v>
      </c>
      <c r="T26" s="54" t="n">
        <v>4</v>
      </c>
    </row>
    <row r="27" customFormat="false" ht="63.6" hidden="false" customHeight="false" outlineLevel="0" collapsed="false">
      <c r="D27" s="81" t="s">
        <v>520</v>
      </c>
      <c r="I27" s="81" t="s">
        <v>530</v>
      </c>
      <c r="J27" s="106" t="s">
        <v>532</v>
      </c>
      <c r="L27" s="82" t="s">
        <v>530</v>
      </c>
      <c r="N27" s="111" t="s">
        <v>522</v>
      </c>
      <c r="O27" s="81" t="n">
        <v>21</v>
      </c>
      <c r="P27" s="81" t="n">
        <v>7</v>
      </c>
      <c r="Q27" s="81" t="s">
        <v>398</v>
      </c>
      <c r="R27" s="81" t="s">
        <v>389</v>
      </c>
      <c r="S27" s="90" t="n">
        <v>45582.6673923264</v>
      </c>
      <c r="T27" s="112" t="s">
        <v>806</v>
      </c>
    </row>
    <row r="28" customFormat="false" ht="15" hidden="false" customHeight="false" outlineLevel="0" collapsed="false">
      <c r="B28" s="82" t="s">
        <v>399</v>
      </c>
      <c r="C28" s="81" t="s">
        <v>520</v>
      </c>
      <c r="F28" s="81" t="s">
        <v>520</v>
      </c>
      <c r="K28" s="81" t="n">
        <v>3</v>
      </c>
      <c r="N28" s="113" t="s">
        <v>526</v>
      </c>
      <c r="O28" s="81" t="n">
        <v>22</v>
      </c>
      <c r="P28" s="81" t="n">
        <v>7</v>
      </c>
      <c r="Q28" s="81" t="s">
        <v>398</v>
      </c>
      <c r="R28" s="81" t="s">
        <v>389</v>
      </c>
      <c r="S28" s="90" t="n">
        <v>45582.6678938542</v>
      </c>
      <c r="T28" s="54" t="s">
        <v>165</v>
      </c>
    </row>
    <row r="29" customFormat="false" ht="63.6" hidden="false" customHeight="false" outlineLevel="0" collapsed="false">
      <c r="D29" s="81" t="s">
        <v>520</v>
      </c>
      <c r="I29" s="81" t="s">
        <v>530</v>
      </c>
      <c r="J29" s="106" t="s">
        <v>532</v>
      </c>
      <c r="L29" s="82" t="s">
        <v>530</v>
      </c>
      <c r="N29" s="120" t="s">
        <v>522</v>
      </c>
      <c r="O29" s="81" t="n">
        <v>23</v>
      </c>
      <c r="P29" s="81" t="n">
        <v>7</v>
      </c>
      <c r="Q29" s="81" t="s">
        <v>399</v>
      </c>
      <c r="R29" s="81" t="s">
        <v>534</v>
      </c>
      <c r="S29" s="90" t="n">
        <v>45582.6678938542</v>
      </c>
      <c r="T29" s="121" t="s">
        <v>807</v>
      </c>
    </row>
    <row r="30" customFormat="false" ht="15" hidden="false" customHeight="false" outlineLevel="0" collapsed="false">
      <c r="F30" s="81" t="s">
        <v>520</v>
      </c>
      <c r="K30" s="81" t="n">
        <v>3</v>
      </c>
      <c r="N30" s="113" t="s">
        <v>526</v>
      </c>
      <c r="O30" s="81" t="n">
        <v>24</v>
      </c>
      <c r="P30" s="81" t="n">
        <v>7</v>
      </c>
      <c r="Q30" s="81" t="s">
        <v>399</v>
      </c>
      <c r="R30" s="81" t="s">
        <v>534</v>
      </c>
      <c r="S30" s="90" t="n">
        <v>45582.6684313194</v>
      </c>
      <c r="T30" s="54" t="n">
        <v>4</v>
      </c>
    </row>
    <row r="31" customFormat="false" ht="63.6" hidden="false" customHeight="false" outlineLevel="0" collapsed="false">
      <c r="D31" s="81" t="s">
        <v>520</v>
      </c>
      <c r="I31" s="81" t="s">
        <v>530</v>
      </c>
      <c r="J31" s="106" t="s">
        <v>532</v>
      </c>
      <c r="L31" s="82" t="s">
        <v>530</v>
      </c>
      <c r="N31" s="111" t="s">
        <v>522</v>
      </c>
      <c r="O31" s="81" t="n">
        <v>25</v>
      </c>
      <c r="P31" s="81" t="n">
        <v>10</v>
      </c>
      <c r="Q31" s="81" t="s">
        <v>399</v>
      </c>
      <c r="R31" s="81" t="s">
        <v>389</v>
      </c>
      <c r="S31" s="90" t="n">
        <v>45582.6684313194</v>
      </c>
      <c r="T31" s="112" t="s">
        <v>808</v>
      </c>
    </row>
    <row r="32" customFormat="false" ht="15" hidden="false" customHeight="false" outlineLevel="0" collapsed="false">
      <c r="B32" s="82" t="s">
        <v>410</v>
      </c>
      <c r="F32" s="81" t="s">
        <v>530</v>
      </c>
      <c r="K32" s="81" t="n">
        <v>3</v>
      </c>
      <c r="N32" s="113" t="s">
        <v>526</v>
      </c>
      <c r="O32" s="81" t="n">
        <v>26</v>
      </c>
      <c r="P32" s="81" t="n">
        <v>10</v>
      </c>
      <c r="Q32" s="81" t="s">
        <v>399</v>
      </c>
      <c r="R32" s="81" t="s">
        <v>389</v>
      </c>
      <c r="S32" s="90" t="n">
        <v>45582.6692023958</v>
      </c>
      <c r="T32" s="54" t="s">
        <v>166</v>
      </c>
    </row>
    <row r="33" customFormat="false" ht="15" hidden="false" customHeight="false" outlineLevel="0" collapsed="false">
      <c r="D33" s="81" t="s">
        <v>520</v>
      </c>
      <c r="G33" s="81" t="s">
        <v>520</v>
      </c>
      <c r="I33" s="81" t="s">
        <v>520</v>
      </c>
      <c r="L33" s="82" t="s">
        <v>520</v>
      </c>
      <c r="N33" s="120" t="s">
        <v>522</v>
      </c>
      <c r="O33" s="81" t="n">
        <v>27</v>
      </c>
      <c r="P33" s="81" t="n">
        <v>10</v>
      </c>
      <c r="Q33" s="81" t="s">
        <v>399</v>
      </c>
      <c r="R33" s="81" t="s">
        <v>389</v>
      </c>
      <c r="S33" s="90" t="n">
        <v>45582.6692023958</v>
      </c>
      <c r="T33" s="121" t="s">
        <v>809</v>
      </c>
    </row>
    <row r="34" customFormat="false" ht="15" hidden="false" customHeight="false" outlineLevel="0" collapsed="false">
      <c r="F34" s="81" t="s">
        <v>530</v>
      </c>
      <c r="K34" s="81" t="n">
        <v>2</v>
      </c>
      <c r="N34" s="113" t="s">
        <v>526</v>
      </c>
      <c r="O34" s="81" t="n">
        <v>28</v>
      </c>
      <c r="P34" s="81" t="n">
        <v>10</v>
      </c>
      <c r="Q34" s="81" t="s">
        <v>399</v>
      </c>
      <c r="R34" s="81" t="s">
        <v>389</v>
      </c>
      <c r="S34" s="90" t="n">
        <v>45582.6714563542</v>
      </c>
      <c r="T34" s="54" t="s">
        <v>167</v>
      </c>
    </row>
    <row r="35" customFormat="false" ht="26.1" hidden="false" customHeight="false" outlineLevel="0" collapsed="false">
      <c r="D35" s="81" t="s">
        <v>520</v>
      </c>
      <c r="G35" s="81" t="s">
        <v>520</v>
      </c>
      <c r="I35" s="81" t="s">
        <v>520</v>
      </c>
      <c r="L35" s="82" t="s">
        <v>530</v>
      </c>
      <c r="N35" s="111" t="s">
        <v>522</v>
      </c>
      <c r="O35" s="81" t="n">
        <v>29</v>
      </c>
      <c r="P35" s="81" t="n">
        <v>10</v>
      </c>
      <c r="Q35" s="81" t="s">
        <v>399</v>
      </c>
      <c r="R35" s="81" t="s">
        <v>389</v>
      </c>
      <c r="S35" s="90" t="n">
        <v>45582.6714563542</v>
      </c>
      <c r="T35" s="112" t="s">
        <v>810</v>
      </c>
    </row>
    <row r="36" customFormat="false" ht="15" hidden="false" customHeight="false" outlineLevel="0" collapsed="false">
      <c r="F36" s="81" t="s">
        <v>530</v>
      </c>
      <c r="K36" s="81" t="n">
        <v>2</v>
      </c>
      <c r="N36" s="113" t="s">
        <v>526</v>
      </c>
      <c r="O36" s="81" t="n">
        <v>30</v>
      </c>
      <c r="P36" s="81" t="n">
        <v>10</v>
      </c>
      <c r="Q36" s="81" t="s">
        <v>399</v>
      </c>
      <c r="R36" s="81" t="s">
        <v>389</v>
      </c>
      <c r="S36" s="90" t="n">
        <v>45582.671986875</v>
      </c>
      <c r="T36" s="54" t="s">
        <v>168</v>
      </c>
    </row>
    <row r="37" customFormat="false" ht="51.1" hidden="false" customHeight="false" outlineLevel="0" collapsed="false">
      <c r="D37" s="81" t="s">
        <v>520</v>
      </c>
      <c r="G37" s="81" t="s">
        <v>520</v>
      </c>
      <c r="I37" s="81" t="s">
        <v>530</v>
      </c>
      <c r="J37" s="106" t="s">
        <v>532</v>
      </c>
      <c r="L37" s="82" t="s">
        <v>520</v>
      </c>
      <c r="N37" s="120" t="s">
        <v>522</v>
      </c>
      <c r="O37" s="81" t="n">
        <v>31</v>
      </c>
      <c r="P37" s="81" t="n">
        <v>10</v>
      </c>
      <c r="Q37" s="81" t="s">
        <v>399</v>
      </c>
      <c r="R37" s="81" t="s">
        <v>389</v>
      </c>
      <c r="S37" s="90" t="n">
        <v>45582.671986875</v>
      </c>
      <c r="T37" s="121" t="s">
        <v>811</v>
      </c>
    </row>
    <row r="38" customFormat="false" ht="15" hidden="false" customHeight="false" outlineLevel="0" collapsed="false">
      <c r="B38" s="82" t="s">
        <v>404</v>
      </c>
      <c r="C38" s="81" t="s">
        <v>520</v>
      </c>
      <c r="F38" s="81" t="s">
        <v>520</v>
      </c>
      <c r="K38" s="81" t="n">
        <v>3</v>
      </c>
      <c r="N38" s="113" t="s">
        <v>526</v>
      </c>
      <c r="O38" s="81" t="n">
        <v>32</v>
      </c>
      <c r="P38" s="81" t="n">
        <v>10</v>
      </c>
      <c r="Q38" s="81" t="s">
        <v>399</v>
      </c>
      <c r="R38" s="81" t="s">
        <v>389</v>
      </c>
      <c r="S38" s="90" t="n">
        <v>45582.6723902431</v>
      </c>
      <c r="T38" s="54" t="s">
        <v>169</v>
      </c>
    </row>
    <row r="39" customFormat="false" ht="63.6" hidden="false" customHeight="false" outlineLevel="0" collapsed="false">
      <c r="D39" s="81" t="s">
        <v>520</v>
      </c>
      <c r="I39" s="81" t="s">
        <v>530</v>
      </c>
      <c r="J39" s="106" t="s">
        <v>532</v>
      </c>
      <c r="L39" s="82" t="s">
        <v>530</v>
      </c>
      <c r="N39" s="111" t="s">
        <v>522</v>
      </c>
      <c r="O39" s="81" t="n">
        <v>33</v>
      </c>
      <c r="P39" s="81" t="n">
        <v>10</v>
      </c>
      <c r="Q39" s="81" t="s">
        <v>404</v>
      </c>
      <c r="R39" s="81" t="s">
        <v>534</v>
      </c>
      <c r="S39" s="90" t="n">
        <v>45582.6723902431</v>
      </c>
      <c r="T39" s="112" t="s">
        <v>812</v>
      </c>
    </row>
    <row r="40" customFormat="false" ht="15" hidden="false" customHeight="false" outlineLevel="0" collapsed="false">
      <c r="F40" s="81" t="s">
        <v>520</v>
      </c>
      <c r="K40" s="81" t="n">
        <v>3</v>
      </c>
      <c r="N40" s="113" t="s">
        <v>526</v>
      </c>
      <c r="O40" s="81" t="n">
        <v>34</v>
      </c>
      <c r="P40" s="81" t="n">
        <v>10</v>
      </c>
      <c r="Q40" s="81" t="s">
        <v>404</v>
      </c>
      <c r="R40" s="81" t="s">
        <v>534</v>
      </c>
      <c r="S40" s="90" t="n">
        <v>45582.672855544</v>
      </c>
      <c r="T40" s="54" t="n">
        <v>4</v>
      </c>
    </row>
    <row r="41" customFormat="false" ht="88.6" hidden="false" customHeight="false" outlineLevel="0" collapsed="false">
      <c r="D41" s="81" t="s">
        <v>530</v>
      </c>
      <c r="E41" s="82" t="s">
        <v>813</v>
      </c>
      <c r="I41" s="81" t="s">
        <v>530</v>
      </c>
      <c r="J41" s="106" t="s">
        <v>532</v>
      </c>
      <c r="L41" s="82" t="s">
        <v>530</v>
      </c>
      <c r="N41" s="120" t="s">
        <v>522</v>
      </c>
      <c r="O41" s="81" t="n">
        <v>35</v>
      </c>
      <c r="Q41" s="81" t="s">
        <v>404</v>
      </c>
      <c r="R41" s="81" t="s">
        <v>585</v>
      </c>
      <c r="S41" s="90" t="n">
        <v>45582.672855544</v>
      </c>
      <c r="T41" s="121" t="s">
        <v>814</v>
      </c>
    </row>
    <row r="42" customFormat="false" ht="15" hidden="false" customHeight="false" outlineLevel="0" collapsed="false">
      <c r="F42" s="81" t="s">
        <v>520</v>
      </c>
      <c r="K42" s="81" t="n">
        <v>3</v>
      </c>
      <c r="N42" s="113" t="s">
        <v>526</v>
      </c>
      <c r="O42" s="81" t="n">
        <v>36</v>
      </c>
      <c r="P42" s="81" t="n">
        <v>10</v>
      </c>
      <c r="Q42" s="81" t="s">
        <v>404</v>
      </c>
      <c r="R42" s="81" t="s">
        <v>585</v>
      </c>
      <c r="S42" s="90" t="n">
        <v>45582.6732658681</v>
      </c>
      <c r="T42" s="54" t="s">
        <v>170</v>
      </c>
    </row>
    <row r="43" customFormat="false" ht="238.6" hidden="false" customHeight="false" outlineLevel="0" collapsed="false">
      <c r="D43" s="81" t="s">
        <v>530</v>
      </c>
      <c r="E43" s="82" t="s">
        <v>815</v>
      </c>
      <c r="I43" s="81" t="s">
        <v>520</v>
      </c>
      <c r="L43" s="82" t="s">
        <v>520</v>
      </c>
      <c r="N43" s="111" t="s">
        <v>522</v>
      </c>
      <c r="O43" s="81" t="n">
        <v>37</v>
      </c>
      <c r="R43" s="81" t="s">
        <v>585</v>
      </c>
      <c r="S43" s="90" t="n">
        <v>45582.6735069445</v>
      </c>
      <c r="T43" s="112" t="s">
        <v>816</v>
      </c>
    </row>
    <row r="44" customFormat="false" ht="15" hidden="false" customHeight="false" outlineLevel="0" collapsed="false">
      <c r="N44" s="109"/>
      <c r="S44" s="109"/>
    </row>
    <row r="45" customFormat="false" ht="15" hidden="false" customHeight="false" outlineLevel="0" collapsed="false">
      <c r="N45" s="109"/>
      <c r="S45" s="109"/>
    </row>
    <row r="46" customFormat="false" ht="15" hidden="false" customHeight="false" outlineLevel="0" collapsed="false">
      <c r="N46" s="109"/>
      <c r="S46" s="109"/>
    </row>
    <row r="47" customFormat="false" ht="15" hidden="false" customHeight="false" outlineLevel="0" collapsed="false">
      <c r="N47" s="109"/>
      <c r="S47" s="109"/>
    </row>
    <row r="48" customFormat="false" ht="15" hidden="false" customHeight="false" outlineLevel="0" collapsed="false">
      <c r="N48" s="109"/>
      <c r="S48" s="109"/>
    </row>
    <row r="49" customFormat="false" ht="15" hidden="false" customHeight="false" outlineLevel="0" collapsed="false">
      <c r="N49" s="109"/>
      <c r="S49" s="109"/>
    </row>
    <row r="50" customFormat="false" ht="15" hidden="false" customHeight="false" outlineLevel="0" collapsed="false">
      <c r="N50" s="109"/>
      <c r="S50" s="109"/>
    </row>
    <row r="51" customFormat="false" ht="15" hidden="false" customHeight="false" outlineLevel="0" collapsed="false">
      <c r="N51" s="109"/>
      <c r="S51" s="109"/>
    </row>
    <row r="52" customFormat="false" ht="15" hidden="false" customHeight="false" outlineLevel="0" collapsed="false">
      <c r="N52" s="109"/>
      <c r="S52" s="109"/>
    </row>
    <row r="53" customFormat="false" ht="15" hidden="false" customHeight="false" outlineLevel="0" collapsed="false">
      <c r="N53" s="109"/>
      <c r="S53" s="109"/>
    </row>
    <row r="54" customFormat="false" ht="15" hidden="false" customHeight="false" outlineLevel="0" collapsed="false">
      <c r="N54" s="109"/>
      <c r="S54" s="109"/>
    </row>
    <row r="55" customFormat="false" ht="15" hidden="false" customHeight="false" outlineLevel="0" collapsed="false">
      <c r="N55" s="109"/>
      <c r="S55" s="109"/>
    </row>
    <row r="56" customFormat="false" ht="15" hidden="false" customHeight="false" outlineLevel="0" collapsed="false">
      <c r="N56" s="109"/>
      <c r="S56" s="109"/>
    </row>
    <row r="57" customFormat="false" ht="15" hidden="false" customHeight="false" outlineLevel="0" collapsed="false">
      <c r="N57" s="109"/>
      <c r="S57" s="109"/>
    </row>
    <row r="58" customFormat="false" ht="15" hidden="false" customHeight="false" outlineLevel="0" collapsed="false">
      <c r="N58" s="109"/>
      <c r="S58" s="109"/>
    </row>
    <row r="59" customFormat="false" ht="15" hidden="false" customHeight="false" outlineLevel="0" collapsed="false">
      <c r="N59" s="109"/>
      <c r="S59" s="109"/>
    </row>
    <row r="60" customFormat="false" ht="15" hidden="false" customHeight="false" outlineLevel="0" collapsed="false">
      <c r="N60" s="109"/>
      <c r="S60" s="109"/>
    </row>
    <row r="61" customFormat="false" ht="15" hidden="false" customHeight="false" outlineLevel="0" collapsed="false">
      <c r="N61" s="110"/>
      <c r="S61" s="110"/>
    </row>
  </sheetData>
  <conditionalFormatting sqref="O7:S43">
    <cfRule type="expression" priority="2" aboveAverage="0" equalAverage="0" bottom="0" percent="0" rank="0" text="" dxfId="53">
      <formula>$N7="agent"</formula>
    </cfRule>
  </conditionalFormatting>
  <conditionalFormatting sqref="N2:S6">
    <cfRule type="expression" priority="3" aboveAverage="0" equalAverage="0" bottom="0" percent="0" rank="0" text="" dxfId="54">
      <formula>$N2="agent"</formula>
    </cfRule>
  </conditionalFormatting>
  <conditionalFormatting sqref="N44:S105">
    <cfRule type="expression" priority="4" aboveAverage="0" equalAverage="0" bottom="0" percent="0" rank="0" text="" dxfId="55">
      <formula>$N44="agent"</formula>
    </cfRule>
  </conditionalFormatting>
  <conditionalFormatting sqref="S2">
    <cfRule type="expression" priority="5" aboveAverage="0" equalAverage="0" bottom="0" percent="0" rank="0" text="" dxfId="56">
      <formula>$N3="agent"</formula>
    </cfRule>
  </conditionalFormatting>
  <conditionalFormatting sqref="A1:S1 T1:XFD3">
    <cfRule type="expression" priority="6" aboveAverage="0" equalAverage="0" bottom="0" percent="0" rank="0" text="" dxfId="57">
      <formula>$N1="agent"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5"/>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pane xSplit="0" ySplit="1" topLeftCell="A61" activePane="bottomLeft" state="frozen"/>
      <selection pane="topLeft" activeCell="I1" activeCellId="0" sqref="I1"/>
      <selection pane="bottomLeft" activeCell="R63" activeCellId="0" sqref="R63"/>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9.43"/>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86"/>
    <col collapsed="false" customWidth="true" hidden="false" outlineLevel="0" max="19" min="19" style="81" width="18.14"/>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n">
        <f aca="false">COUNTIF(C7:C104,"y")/(COUNTIF(C7:C104,"y")+COUNTIF(C7:C104,"n"))</f>
        <v>0.272727272727273</v>
      </c>
      <c r="D2" s="86" t="n">
        <f aca="false">COUNTIF(D7:D104,"y")/(COUNTIF(D7:D104,"y")+COUNTIF(D7:D104,"n"))</f>
        <v>0.413793103448276</v>
      </c>
      <c r="E2" s="86"/>
      <c r="F2" s="86" t="n">
        <f aca="false">COUNTIF(F7:F104,"y")/(COUNTIF(F7:F104,"y")+COUNTIF(F7:F104,"n"))</f>
        <v>0.642857142857143</v>
      </c>
      <c r="G2" s="86" t="n">
        <f aca="false">COUNTIF(G7:G104,"y")/(COUNTIF(G7:G104,"y")+COUNTIF(G7:G104,"n"))</f>
        <v>0.3</v>
      </c>
      <c r="H2" s="86"/>
      <c r="I2" s="86" t="n">
        <f aca="false">COUNTIF(I7:I104,"y")/(COUNTIF(I7:I104,"y")+COUNTIF(I7:I104,"n"))</f>
        <v>0.655172413793103</v>
      </c>
      <c r="J2" s="86"/>
      <c r="K2" s="86" t="n">
        <f aca="false">COUNTIF(K7:K104,"1")</f>
        <v>0</v>
      </c>
      <c r="L2" s="86" t="n">
        <f aca="false">COUNTIF(L7:L104,"y")/(COUNTIF(L7:L104,"y")+COUNTIF(L7:L104,"n"))</f>
        <v>1</v>
      </c>
      <c r="M2" s="86"/>
      <c r="O2" s="87" t="n">
        <f aca="false" t="array" ref="O2:O2">LOOKUP(2,1/(O:O&lt;&gt;""),O:O)</f>
        <v>57</v>
      </c>
      <c r="R2" s="83" t="n">
        <f aca="false">COUNTIF(R7:R100,"strategy")/2</f>
        <v>14</v>
      </c>
      <c r="S2" s="88" t="n">
        <f aca="false" t="array" ref="S2:S2">LOOKUP(2,1/(S:S&lt;&gt;""),S:S)-S7</f>
        <v>0.0459335416671759</v>
      </c>
      <c r="T2" s="85"/>
    </row>
    <row r="3" s="83" customFormat="true" ht="15" hidden="false" customHeight="false" outlineLevel="0" collapsed="false">
      <c r="B3" s="89"/>
      <c r="C3" s="89"/>
      <c r="D3" s="89"/>
      <c r="E3" s="89"/>
      <c r="F3" s="89"/>
      <c r="G3" s="89"/>
      <c r="H3" s="89"/>
      <c r="I3" s="89"/>
      <c r="J3" s="89"/>
      <c r="K3" s="86" t="n">
        <f aca="false">COUNTIF(K7:K104,"2")</f>
        <v>0</v>
      </c>
      <c r="L3" s="89"/>
      <c r="M3" s="89"/>
      <c r="R3" s="83" t="n">
        <f aca="false">COUNTIF(R7:R100,"frequency")/2</f>
        <v>8</v>
      </c>
      <c r="T3" s="85"/>
    </row>
    <row r="4" s="83" customFormat="true" ht="15" hidden="false" customHeight="false" outlineLevel="0" collapsed="false">
      <c r="B4" s="89"/>
      <c r="C4" s="89"/>
      <c r="D4" s="89"/>
      <c r="E4" s="89"/>
      <c r="F4" s="89"/>
      <c r="G4" s="89"/>
      <c r="H4" s="89"/>
      <c r="I4" s="89"/>
      <c r="J4" s="89"/>
      <c r="K4" s="86" t="n">
        <f aca="false">COUNTIF(K7:K104,"3")</f>
        <v>28</v>
      </c>
      <c r="L4" s="89"/>
      <c r="M4" s="89"/>
      <c r="R4" s="83" t="n">
        <f aca="false">CEILING(COUNTIF(R7:R100,"complete")/2,1)</f>
        <v>6</v>
      </c>
      <c r="S4" s="105" t="n">
        <f aca="false">(S33-S7)+(S63-S34)</f>
        <v>0.0330493634246523</v>
      </c>
      <c r="T4" s="85"/>
    </row>
    <row r="5" s="83" customFormat="true" ht="15" hidden="false" customHeight="false" outlineLevel="0" collapsed="false">
      <c r="B5" s="89"/>
      <c r="C5" s="89"/>
      <c r="D5" s="89"/>
      <c r="E5" s="89"/>
      <c r="F5" s="89"/>
      <c r="G5" s="89"/>
      <c r="H5" s="89"/>
      <c r="I5" s="89"/>
      <c r="J5" s="89"/>
      <c r="K5" s="86" t="n">
        <f aca="false">COUNTIF(K7:K104,"4")</f>
        <v>0</v>
      </c>
      <c r="L5" s="89"/>
      <c r="M5" s="89"/>
      <c r="T5" s="85"/>
    </row>
    <row r="6" s="92" customFormat="true" ht="15" hidden="false" customHeight="false" outlineLevel="0" collapsed="false">
      <c r="B6" s="93"/>
      <c r="C6" s="93"/>
      <c r="D6" s="93"/>
      <c r="E6" s="93"/>
      <c r="F6" s="93"/>
      <c r="G6" s="93"/>
      <c r="H6" s="93"/>
      <c r="I6" s="93"/>
      <c r="J6" s="93"/>
      <c r="K6" s="94" t="n">
        <f aca="false">COUNTIF(K7:K104,"5")</f>
        <v>0</v>
      </c>
      <c r="L6" s="93"/>
      <c r="M6" s="93"/>
      <c r="T6" s="95"/>
    </row>
    <row r="7" s="96" customFormat="true" ht="26.1" hidden="false" customHeight="false" outlineLevel="0" collapsed="false">
      <c r="B7" s="97"/>
      <c r="D7" s="96" t="s">
        <v>520</v>
      </c>
      <c r="E7" s="97"/>
      <c r="I7" s="96" t="s">
        <v>520</v>
      </c>
      <c r="J7" s="97"/>
      <c r="L7" s="97" t="s">
        <v>525</v>
      </c>
      <c r="M7" s="97"/>
      <c r="N7" s="111" t="s">
        <v>522</v>
      </c>
      <c r="O7" s="96" t="n">
        <v>1</v>
      </c>
      <c r="R7" s="96" t="s">
        <v>523</v>
      </c>
      <c r="S7" s="98" t="n">
        <v>45583.3600618287</v>
      </c>
      <c r="T7" s="112" t="s">
        <v>524</v>
      </c>
    </row>
    <row r="8" customFormat="false" ht="15" hidden="false" customHeight="false" outlineLevel="0" collapsed="false">
      <c r="F8" s="81" t="s">
        <v>520</v>
      </c>
      <c r="K8" s="81" t="n">
        <v>3</v>
      </c>
      <c r="N8" s="113" t="s">
        <v>526</v>
      </c>
      <c r="O8" s="81" t="n">
        <v>2</v>
      </c>
      <c r="R8" s="81" t="s">
        <v>523</v>
      </c>
      <c r="S8" s="109" t="n">
        <v>45583.3604674769</v>
      </c>
      <c r="T8" s="54" t="s">
        <v>171</v>
      </c>
    </row>
    <row r="9" customFormat="false" ht="38.6" hidden="false" customHeight="false" outlineLevel="0" collapsed="false">
      <c r="D9" s="81" t="s">
        <v>530</v>
      </c>
      <c r="E9" s="82" t="s">
        <v>817</v>
      </c>
      <c r="I9" s="81" t="s">
        <v>520</v>
      </c>
      <c r="L9" s="82" t="s">
        <v>520</v>
      </c>
      <c r="N9" s="120" t="s">
        <v>522</v>
      </c>
      <c r="O9" s="81" t="n">
        <v>3</v>
      </c>
      <c r="P9" s="81" t="n">
        <v>11</v>
      </c>
      <c r="R9" s="81" t="s">
        <v>389</v>
      </c>
      <c r="S9" s="109" t="n">
        <v>45583.3604674769</v>
      </c>
      <c r="T9" s="121" t="s">
        <v>818</v>
      </c>
    </row>
    <row r="10" customFormat="false" ht="124.5" hidden="false" customHeight="true" outlineLevel="0" collapsed="false">
      <c r="F10" s="81" t="s">
        <v>530</v>
      </c>
      <c r="K10" s="81" t="n">
        <v>3</v>
      </c>
      <c r="N10" s="113" t="s">
        <v>526</v>
      </c>
      <c r="O10" s="81" t="n">
        <v>4</v>
      </c>
      <c r="P10" s="81" t="n">
        <v>11</v>
      </c>
      <c r="R10" s="81" t="s">
        <v>389</v>
      </c>
      <c r="S10" s="109" t="n">
        <v>45583.3617796412</v>
      </c>
      <c r="T10" s="54" t="s">
        <v>172</v>
      </c>
    </row>
    <row r="11" customFormat="false" ht="26.1" hidden="false" customHeight="false" outlineLevel="0" collapsed="false">
      <c r="D11" s="81" t="s">
        <v>520</v>
      </c>
      <c r="G11" s="81" t="s">
        <v>520</v>
      </c>
      <c r="I11" s="81" t="s">
        <v>520</v>
      </c>
      <c r="L11" s="82" t="s">
        <v>520</v>
      </c>
      <c r="N11" s="111" t="s">
        <v>522</v>
      </c>
      <c r="O11" s="81" t="n">
        <v>5</v>
      </c>
      <c r="P11" s="81" t="n">
        <v>11</v>
      </c>
      <c r="R11" s="81" t="s">
        <v>389</v>
      </c>
      <c r="S11" s="109" t="n">
        <v>45583.3617796412</v>
      </c>
      <c r="T11" s="112" t="s">
        <v>819</v>
      </c>
    </row>
    <row r="12" customFormat="false" ht="38.6" hidden="false" customHeight="false" outlineLevel="0" collapsed="false">
      <c r="B12" s="82" t="s">
        <v>820</v>
      </c>
      <c r="C12" s="81" t="s">
        <v>530</v>
      </c>
      <c r="F12" s="81" t="s">
        <v>520</v>
      </c>
      <c r="K12" s="81" t="n">
        <v>3</v>
      </c>
      <c r="N12" s="113" t="s">
        <v>526</v>
      </c>
      <c r="O12" s="81" t="n">
        <v>6</v>
      </c>
      <c r="P12" s="81" t="n">
        <v>11</v>
      </c>
      <c r="R12" s="81" t="s">
        <v>389</v>
      </c>
      <c r="S12" s="109" t="n">
        <v>45583.3630142014</v>
      </c>
      <c r="T12" s="54" t="s">
        <v>173</v>
      </c>
    </row>
    <row r="13" customFormat="false" ht="76.1" hidden="false" customHeight="false" outlineLevel="0" collapsed="false">
      <c r="C13" s="81" t="s">
        <v>520</v>
      </c>
      <c r="D13" s="81" t="s">
        <v>520</v>
      </c>
      <c r="I13" s="81" t="s">
        <v>530</v>
      </c>
      <c r="J13" s="82" t="s">
        <v>532</v>
      </c>
      <c r="L13" s="82" t="s">
        <v>520</v>
      </c>
      <c r="N13" s="120" t="s">
        <v>522</v>
      </c>
      <c r="O13" s="81" t="n">
        <v>7</v>
      </c>
      <c r="P13" s="81" t="n">
        <v>11</v>
      </c>
      <c r="Q13" s="81" t="s">
        <v>393</v>
      </c>
      <c r="R13" s="81" t="s">
        <v>534</v>
      </c>
      <c r="S13" s="109" t="n">
        <v>45583.3630142014</v>
      </c>
      <c r="T13" s="121" t="s">
        <v>821</v>
      </c>
    </row>
    <row r="14" customFormat="false" ht="15" hidden="false" customHeight="false" outlineLevel="0" collapsed="false">
      <c r="C14" s="81" t="s">
        <v>520</v>
      </c>
      <c r="F14" s="81" t="s">
        <v>520</v>
      </c>
      <c r="K14" s="81" t="n">
        <v>3</v>
      </c>
      <c r="N14" s="113" t="s">
        <v>526</v>
      </c>
      <c r="O14" s="81" t="n">
        <v>8</v>
      </c>
      <c r="P14" s="81" t="n">
        <v>11</v>
      </c>
      <c r="Q14" s="81" t="s">
        <v>393</v>
      </c>
      <c r="R14" s="81" t="s">
        <v>534</v>
      </c>
      <c r="S14" s="109" t="n">
        <v>45583.3646159722</v>
      </c>
      <c r="T14" s="54" t="n">
        <v>2</v>
      </c>
    </row>
    <row r="15" customFormat="false" ht="88.6" hidden="false" customHeight="false" outlineLevel="0" collapsed="false">
      <c r="C15" s="81" t="s">
        <v>530</v>
      </c>
      <c r="D15" s="81" t="s">
        <v>520</v>
      </c>
      <c r="I15" s="81" t="s">
        <v>520</v>
      </c>
      <c r="L15" s="82" t="s">
        <v>520</v>
      </c>
      <c r="N15" s="111" t="s">
        <v>522</v>
      </c>
      <c r="O15" s="81" t="n">
        <v>9</v>
      </c>
      <c r="P15" s="81" t="n">
        <v>11</v>
      </c>
      <c r="Q15" s="81" t="s">
        <v>398</v>
      </c>
      <c r="R15" s="81" t="s">
        <v>534</v>
      </c>
      <c r="S15" s="109" t="n">
        <v>45583.3646159722</v>
      </c>
      <c r="T15" s="112" t="s">
        <v>822</v>
      </c>
    </row>
    <row r="16" customFormat="false" ht="15" hidden="false" customHeight="false" outlineLevel="0" collapsed="false">
      <c r="C16" s="81" t="s">
        <v>530</v>
      </c>
      <c r="F16" s="81" t="s">
        <v>530</v>
      </c>
      <c r="K16" s="81" t="n">
        <v>3</v>
      </c>
      <c r="N16" s="113" t="s">
        <v>526</v>
      </c>
      <c r="O16" s="81" t="n">
        <v>10</v>
      </c>
      <c r="P16" s="81" t="n">
        <v>11</v>
      </c>
      <c r="Q16" s="81" t="s">
        <v>398</v>
      </c>
      <c r="R16" s="81" t="s">
        <v>534</v>
      </c>
      <c r="S16" s="109" t="n">
        <v>45583.3670559954</v>
      </c>
      <c r="T16" s="54" t="s">
        <v>174</v>
      </c>
    </row>
    <row r="17" customFormat="false" ht="76.1" hidden="false" customHeight="false" outlineLevel="0" collapsed="false">
      <c r="C17" s="81" t="s">
        <v>530</v>
      </c>
      <c r="D17" s="81" t="s">
        <v>520</v>
      </c>
      <c r="G17" s="81" t="s">
        <v>530</v>
      </c>
      <c r="I17" s="81" t="s">
        <v>530</v>
      </c>
      <c r="J17" s="106" t="s">
        <v>532</v>
      </c>
      <c r="L17" s="82" t="s">
        <v>520</v>
      </c>
      <c r="N17" s="120" t="s">
        <v>522</v>
      </c>
      <c r="O17" s="81" t="n">
        <v>11</v>
      </c>
      <c r="P17" s="81" t="n">
        <v>11</v>
      </c>
      <c r="Q17" s="81" t="s">
        <v>400</v>
      </c>
      <c r="R17" s="81" t="s">
        <v>534</v>
      </c>
      <c r="S17" s="109" t="n">
        <v>45583.3670559954</v>
      </c>
      <c r="T17" s="121" t="s">
        <v>823</v>
      </c>
    </row>
    <row r="18" customFormat="false" ht="15" hidden="false" customHeight="false" outlineLevel="0" collapsed="false">
      <c r="F18" s="81" t="s">
        <v>520</v>
      </c>
      <c r="K18" s="81" t="n">
        <v>3</v>
      </c>
      <c r="N18" s="113" t="s">
        <v>526</v>
      </c>
      <c r="O18" s="81" t="n">
        <v>12</v>
      </c>
      <c r="P18" s="81" t="n">
        <v>11</v>
      </c>
      <c r="Q18" s="81" t="s">
        <v>400</v>
      </c>
      <c r="R18" s="81" t="s">
        <v>534</v>
      </c>
      <c r="S18" s="109" t="n">
        <v>45583.3679505671</v>
      </c>
      <c r="T18" s="54" t="n">
        <v>3</v>
      </c>
    </row>
    <row r="19" customFormat="false" ht="76.1" hidden="false" customHeight="false" outlineLevel="0" collapsed="false">
      <c r="D19" s="81" t="s">
        <v>520</v>
      </c>
      <c r="I19" s="81" t="s">
        <v>520</v>
      </c>
      <c r="L19" s="82" t="s">
        <v>520</v>
      </c>
      <c r="N19" s="111" t="s">
        <v>522</v>
      </c>
      <c r="O19" s="81" t="n">
        <v>13</v>
      </c>
      <c r="P19" s="81" t="n">
        <v>9</v>
      </c>
      <c r="Q19" s="81" t="s">
        <v>400</v>
      </c>
      <c r="R19" s="81" t="s">
        <v>389</v>
      </c>
      <c r="S19" s="109" t="n">
        <v>45583.3679505671</v>
      </c>
      <c r="T19" s="112" t="s">
        <v>824</v>
      </c>
    </row>
    <row r="20" customFormat="false" ht="15" hidden="false" customHeight="false" outlineLevel="0" collapsed="false">
      <c r="F20" s="81" t="s">
        <v>520</v>
      </c>
      <c r="K20" s="81" t="n">
        <v>3</v>
      </c>
      <c r="N20" s="113" t="s">
        <v>526</v>
      </c>
      <c r="O20" s="81" t="n">
        <v>14</v>
      </c>
      <c r="P20" s="81" t="n">
        <v>9</v>
      </c>
      <c r="Q20" s="81" t="s">
        <v>400</v>
      </c>
      <c r="R20" s="81" t="s">
        <v>389</v>
      </c>
      <c r="S20" s="109" t="n">
        <v>45583.3684455324</v>
      </c>
      <c r="T20" s="54" t="n">
        <v>2</v>
      </c>
    </row>
    <row r="21" customFormat="false" ht="76.1" hidden="false" customHeight="false" outlineLevel="0" collapsed="false">
      <c r="D21" s="81" t="s">
        <v>520</v>
      </c>
      <c r="I21" s="81" t="s">
        <v>520</v>
      </c>
      <c r="L21" s="82" t="s">
        <v>520</v>
      </c>
      <c r="N21" s="120" t="s">
        <v>522</v>
      </c>
      <c r="O21" s="81" t="n">
        <v>15</v>
      </c>
      <c r="P21" s="81" t="n">
        <v>9</v>
      </c>
      <c r="Q21" s="81" t="s">
        <v>404</v>
      </c>
      <c r="R21" s="81" t="s">
        <v>534</v>
      </c>
      <c r="S21" s="109" t="n">
        <v>45583.3684455324</v>
      </c>
      <c r="T21" s="121" t="s">
        <v>825</v>
      </c>
    </row>
    <row r="22" customFormat="false" ht="15" hidden="false" customHeight="false" outlineLevel="0" collapsed="false">
      <c r="F22" s="81" t="s">
        <v>520</v>
      </c>
      <c r="K22" s="81" t="n">
        <v>3</v>
      </c>
      <c r="N22" s="113" t="s">
        <v>526</v>
      </c>
      <c r="O22" s="81" t="n">
        <v>16</v>
      </c>
      <c r="P22" s="81" t="n">
        <v>9</v>
      </c>
      <c r="Q22" s="81" t="s">
        <v>404</v>
      </c>
      <c r="R22" s="81" t="s">
        <v>534</v>
      </c>
      <c r="S22" s="109" t="n">
        <v>45583.3690623032</v>
      </c>
      <c r="T22" s="54" t="n">
        <v>3</v>
      </c>
    </row>
    <row r="23" customFormat="false" ht="76.1" hidden="false" customHeight="false" outlineLevel="0" collapsed="false">
      <c r="D23" s="81" t="s">
        <v>520</v>
      </c>
      <c r="I23" s="81" t="s">
        <v>520</v>
      </c>
      <c r="L23" s="82" t="s">
        <v>520</v>
      </c>
      <c r="N23" s="111" t="s">
        <v>522</v>
      </c>
      <c r="O23" s="81" t="n">
        <v>17</v>
      </c>
      <c r="P23" s="81" t="n">
        <v>8</v>
      </c>
      <c r="Q23" s="81" t="s">
        <v>404</v>
      </c>
      <c r="R23" s="81" t="s">
        <v>389</v>
      </c>
      <c r="S23" s="109" t="n">
        <v>45583.3690623032</v>
      </c>
      <c r="T23" s="112" t="s">
        <v>826</v>
      </c>
    </row>
    <row r="24" customFormat="false" ht="15" hidden="false" customHeight="false" outlineLevel="0" collapsed="false">
      <c r="F24" s="81" t="s">
        <v>520</v>
      </c>
      <c r="K24" s="81" t="n">
        <v>3</v>
      </c>
      <c r="N24" s="113" t="s">
        <v>526</v>
      </c>
      <c r="O24" s="81" t="n">
        <v>18</v>
      </c>
      <c r="P24" s="81" t="n">
        <v>8</v>
      </c>
      <c r="Q24" s="81" t="s">
        <v>404</v>
      </c>
      <c r="R24" s="81" t="s">
        <v>389</v>
      </c>
      <c r="S24" s="109" t="n">
        <v>45583.3700868171</v>
      </c>
      <c r="T24" s="54" t="n">
        <v>3</v>
      </c>
    </row>
    <row r="25" customFormat="false" ht="51.1" hidden="false" customHeight="false" outlineLevel="0" collapsed="false">
      <c r="D25" s="81" t="s">
        <v>520</v>
      </c>
      <c r="I25" s="81" t="s">
        <v>520</v>
      </c>
      <c r="L25" s="82" t="s">
        <v>520</v>
      </c>
      <c r="N25" s="120" t="s">
        <v>522</v>
      </c>
      <c r="O25" s="81" t="n">
        <v>19</v>
      </c>
      <c r="P25" s="81" t="n">
        <v>8</v>
      </c>
      <c r="Q25" s="81" t="s">
        <v>407</v>
      </c>
      <c r="R25" s="81" t="s">
        <v>534</v>
      </c>
      <c r="S25" s="109" t="n">
        <v>45583.3700868171</v>
      </c>
      <c r="T25" s="121" t="s">
        <v>827</v>
      </c>
    </row>
    <row r="26" customFormat="false" ht="15" hidden="false" customHeight="false" outlineLevel="0" collapsed="false">
      <c r="F26" s="81" t="s">
        <v>520</v>
      </c>
      <c r="K26" s="81" t="n">
        <v>3</v>
      </c>
      <c r="N26" s="113" t="s">
        <v>526</v>
      </c>
      <c r="O26" s="81" t="n">
        <v>20</v>
      </c>
      <c r="P26" s="81" t="n">
        <v>8</v>
      </c>
      <c r="Q26" s="81" t="s">
        <v>407</v>
      </c>
      <c r="R26" s="81" t="s">
        <v>534</v>
      </c>
      <c r="S26" s="109" t="n">
        <v>45583.3705002778</v>
      </c>
      <c r="T26" s="54" t="n">
        <v>4</v>
      </c>
    </row>
    <row r="27" customFormat="false" ht="76.1" hidden="false" customHeight="false" outlineLevel="0" collapsed="false">
      <c r="D27" s="81" t="s">
        <v>530</v>
      </c>
      <c r="E27" s="82" t="s">
        <v>828</v>
      </c>
      <c r="I27" s="81" t="s">
        <v>520</v>
      </c>
      <c r="L27" s="82" t="s">
        <v>520</v>
      </c>
      <c r="N27" s="111" t="s">
        <v>522</v>
      </c>
      <c r="O27" s="81" t="n">
        <v>21</v>
      </c>
      <c r="P27" s="81" t="n">
        <v>10</v>
      </c>
      <c r="Q27" s="81" t="s">
        <v>407</v>
      </c>
      <c r="R27" s="81" t="s">
        <v>389</v>
      </c>
      <c r="S27" s="109" t="n">
        <v>45583.3705002778</v>
      </c>
      <c r="T27" s="112" t="s">
        <v>829</v>
      </c>
    </row>
    <row r="28" customFormat="false" ht="15" hidden="false" customHeight="false" outlineLevel="0" collapsed="false">
      <c r="F28" s="81" t="s">
        <v>530</v>
      </c>
      <c r="K28" s="81" t="n">
        <v>3</v>
      </c>
      <c r="N28" s="113" t="s">
        <v>526</v>
      </c>
      <c r="O28" s="81" t="n">
        <v>22</v>
      </c>
      <c r="P28" s="81" t="n">
        <v>10</v>
      </c>
      <c r="Q28" s="81" t="s">
        <v>407</v>
      </c>
      <c r="R28" s="81" t="s">
        <v>389</v>
      </c>
      <c r="S28" s="109" t="n">
        <v>45583.3721921528</v>
      </c>
      <c r="T28" s="54" t="s">
        <v>175</v>
      </c>
    </row>
    <row r="29" customFormat="false" ht="38.6" hidden="false" customHeight="false" outlineLevel="0" collapsed="false">
      <c r="D29" s="81" t="s">
        <v>530</v>
      </c>
      <c r="G29" s="81" t="s">
        <v>530</v>
      </c>
      <c r="I29" s="81" t="s">
        <v>520</v>
      </c>
      <c r="L29" s="82" t="s">
        <v>520</v>
      </c>
      <c r="N29" s="120" t="s">
        <v>522</v>
      </c>
      <c r="O29" s="81" t="n">
        <v>23</v>
      </c>
      <c r="P29" s="81" t="n">
        <v>10</v>
      </c>
      <c r="Q29" s="81" t="s">
        <v>407</v>
      </c>
      <c r="R29" s="81" t="s">
        <v>389</v>
      </c>
      <c r="S29" s="109" t="n">
        <v>45583.3721921528</v>
      </c>
      <c r="T29" s="121" t="s">
        <v>830</v>
      </c>
    </row>
    <row r="30" customFormat="false" ht="15" hidden="false" customHeight="false" outlineLevel="0" collapsed="false">
      <c r="F30" s="81" t="s">
        <v>530</v>
      </c>
      <c r="K30" s="81" t="n">
        <v>3</v>
      </c>
      <c r="N30" s="113" t="s">
        <v>526</v>
      </c>
      <c r="O30" s="81" t="n">
        <v>24</v>
      </c>
      <c r="P30" s="81" t="n">
        <v>10</v>
      </c>
      <c r="Q30" s="81" t="s">
        <v>407</v>
      </c>
      <c r="R30" s="81" t="s">
        <v>389</v>
      </c>
      <c r="S30" s="109" t="n">
        <v>45583.3734660417</v>
      </c>
      <c r="T30" s="54" t="s">
        <v>176</v>
      </c>
    </row>
    <row r="31" customFormat="false" ht="26.1" hidden="false" customHeight="false" outlineLevel="0" collapsed="false">
      <c r="D31" s="81" t="s">
        <v>530</v>
      </c>
      <c r="G31" s="81" t="s">
        <v>530</v>
      </c>
      <c r="I31" s="81" t="s">
        <v>520</v>
      </c>
      <c r="L31" s="82" t="s">
        <v>520</v>
      </c>
      <c r="N31" s="111" t="s">
        <v>522</v>
      </c>
      <c r="O31" s="81" t="n">
        <v>25</v>
      </c>
      <c r="P31" s="81" t="n">
        <v>10</v>
      </c>
      <c r="Q31" s="81" t="s">
        <v>407</v>
      </c>
      <c r="R31" s="81" t="s">
        <v>389</v>
      </c>
      <c r="S31" s="109" t="n">
        <v>45583.3734660417</v>
      </c>
      <c r="T31" s="112" t="s">
        <v>831</v>
      </c>
    </row>
    <row r="32" customFormat="false" ht="15" hidden="false" customHeight="false" outlineLevel="0" collapsed="false">
      <c r="B32" s="82" t="s">
        <v>397</v>
      </c>
      <c r="C32" s="81" t="s">
        <v>530</v>
      </c>
      <c r="F32" s="81" t="s">
        <v>520</v>
      </c>
      <c r="K32" s="81" t="n">
        <v>3</v>
      </c>
      <c r="N32" s="113" t="s">
        <v>526</v>
      </c>
      <c r="O32" s="81" t="n">
        <v>26</v>
      </c>
      <c r="P32" s="81" t="n">
        <v>10</v>
      </c>
      <c r="Q32" s="81" t="s">
        <v>407</v>
      </c>
      <c r="R32" s="81" t="s">
        <v>389</v>
      </c>
      <c r="S32" s="109" t="n">
        <v>45583.3746424537</v>
      </c>
      <c r="T32" s="54" t="s">
        <v>177</v>
      </c>
    </row>
    <row r="33" customFormat="false" ht="38.6" hidden="false" customHeight="false" outlineLevel="0" collapsed="false">
      <c r="C33" s="81" t="s">
        <v>530</v>
      </c>
      <c r="D33" s="81" t="s">
        <v>530</v>
      </c>
      <c r="I33" s="81" t="s">
        <v>520</v>
      </c>
      <c r="L33" s="82" t="s">
        <v>520</v>
      </c>
      <c r="N33" s="120" t="s">
        <v>522</v>
      </c>
      <c r="O33" s="81" t="n">
        <v>27</v>
      </c>
      <c r="P33" s="81" t="n">
        <v>10</v>
      </c>
      <c r="Q33" s="81" t="s">
        <v>407</v>
      </c>
      <c r="R33" s="81" t="s">
        <v>389</v>
      </c>
      <c r="S33" s="109" t="n">
        <v>45583.3746424537</v>
      </c>
      <c r="T33" s="121" t="s">
        <v>832</v>
      </c>
    </row>
    <row r="34" customFormat="false" ht="26.1" hidden="false" customHeight="false" outlineLevel="0" collapsed="false">
      <c r="C34" s="81" t="s">
        <v>530</v>
      </c>
      <c r="F34" s="81" t="s">
        <v>530</v>
      </c>
      <c r="K34" s="81" t="n">
        <v>3</v>
      </c>
      <c r="N34" s="113" t="s">
        <v>526</v>
      </c>
      <c r="O34" s="81" t="n">
        <v>28</v>
      </c>
      <c r="P34" s="81" t="n">
        <v>10</v>
      </c>
      <c r="Q34" s="81" t="s">
        <v>407</v>
      </c>
      <c r="R34" s="81" t="s">
        <v>389</v>
      </c>
      <c r="S34" s="109" t="n">
        <v>45583.3875266319</v>
      </c>
      <c r="T34" s="54" t="s">
        <v>178</v>
      </c>
    </row>
    <row r="35" customFormat="false" ht="26.1" hidden="false" customHeight="false" outlineLevel="0" collapsed="false">
      <c r="D35" s="82" t="s">
        <v>530</v>
      </c>
      <c r="G35" s="81" t="s">
        <v>530</v>
      </c>
      <c r="I35" s="81" t="s">
        <v>520</v>
      </c>
      <c r="L35" s="82" t="s">
        <v>520</v>
      </c>
      <c r="N35" s="111" t="s">
        <v>522</v>
      </c>
      <c r="O35" s="81" t="n">
        <v>29</v>
      </c>
      <c r="P35" s="81" t="n">
        <v>10</v>
      </c>
      <c r="Q35" s="81" t="s">
        <v>407</v>
      </c>
      <c r="R35" s="81" t="s">
        <v>389</v>
      </c>
      <c r="S35" s="109" t="n">
        <v>45583.3875266319</v>
      </c>
      <c r="T35" s="112" t="s">
        <v>833</v>
      </c>
    </row>
    <row r="36" customFormat="false" ht="15" hidden="false" customHeight="false" outlineLevel="0" collapsed="false">
      <c r="F36" s="81" t="s">
        <v>530</v>
      </c>
      <c r="K36" s="81" t="n">
        <v>3</v>
      </c>
      <c r="N36" s="113" t="s">
        <v>526</v>
      </c>
      <c r="O36" s="81" t="n">
        <v>30</v>
      </c>
      <c r="P36" s="81" t="n">
        <v>10</v>
      </c>
      <c r="Q36" s="81" t="s">
        <v>407</v>
      </c>
      <c r="R36" s="81" t="s">
        <v>389</v>
      </c>
      <c r="S36" s="109" t="n">
        <v>45583.3881746181</v>
      </c>
      <c r="T36" s="54" t="s">
        <v>179</v>
      </c>
    </row>
    <row r="37" customFormat="false" ht="63.6" hidden="false" customHeight="false" outlineLevel="0" collapsed="false">
      <c r="D37" s="81" t="s">
        <v>520</v>
      </c>
      <c r="G37" s="81" t="s">
        <v>520</v>
      </c>
      <c r="I37" s="81" t="s">
        <v>530</v>
      </c>
      <c r="J37" s="106" t="s">
        <v>532</v>
      </c>
      <c r="L37" s="82" t="s">
        <v>520</v>
      </c>
      <c r="N37" s="120" t="s">
        <v>522</v>
      </c>
      <c r="O37" s="81" t="n">
        <v>31</v>
      </c>
      <c r="P37" s="81" t="n">
        <v>10</v>
      </c>
      <c r="Q37" s="81" t="s">
        <v>409</v>
      </c>
      <c r="R37" s="81" t="s">
        <v>534</v>
      </c>
      <c r="S37" s="109" t="n">
        <v>45583.3881746181</v>
      </c>
      <c r="T37" s="121" t="s">
        <v>834</v>
      </c>
    </row>
    <row r="38" customFormat="false" ht="15" hidden="false" customHeight="false" outlineLevel="0" collapsed="false">
      <c r="F38" s="81" t="s">
        <v>520</v>
      </c>
      <c r="K38" s="81" t="n">
        <v>3</v>
      </c>
      <c r="N38" s="113" t="s">
        <v>526</v>
      </c>
      <c r="O38" s="81" t="n">
        <v>32</v>
      </c>
      <c r="P38" s="81" t="n">
        <v>10</v>
      </c>
      <c r="Q38" s="81" t="s">
        <v>409</v>
      </c>
      <c r="R38" s="81" t="s">
        <v>534</v>
      </c>
      <c r="S38" s="109" t="n">
        <v>45583.3901994676</v>
      </c>
      <c r="T38" s="54" t="n">
        <v>1</v>
      </c>
    </row>
    <row r="39" customFormat="false" ht="63.6" hidden="false" customHeight="false" outlineLevel="0" collapsed="false">
      <c r="D39" s="81" t="s">
        <v>520</v>
      </c>
      <c r="I39" s="81" t="s">
        <v>530</v>
      </c>
      <c r="J39" s="106" t="s">
        <v>532</v>
      </c>
      <c r="L39" s="82" t="s">
        <v>520</v>
      </c>
      <c r="N39" s="111" t="s">
        <v>522</v>
      </c>
      <c r="O39" s="81" t="n">
        <v>33</v>
      </c>
      <c r="P39" s="81" t="n">
        <v>10</v>
      </c>
      <c r="Q39" s="81" t="s">
        <v>404</v>
      </c>
      <c r="R39" s="81" t="s">
        <v>534</v>
      </c>
      <c r="S39" s="109" t="n">
        <v>45583.3901994676</v>
      </c>
      <c r="T39" s="112" t="s">
        <v>835</v>
      </c>
    </row>
    <row r="40" customFormat="false" ht="15" hidden="false" customHeight="false" outlineLevel="0" collapsed="false">
      <c r="F40" s="81" t="s">
        <v>520</v>
      </c>
      <c r="K40" s="81" t="n">
        <v>3</v>
      </c>
      <c r="N40" s="113" t="s">
        <v>526</v>
      </c>
      <c r="O40" s="81" t="n">
        <v>34</v>
      </c>
      <c r="P40" s="81" t="n">
        <v>10</v>
      </c>
      <c r="Q40" s="81" t="s">
        <v>404</v>
      </c>
      <c r="R40" s="81" t="s">
        <v>534</v>
      </c>
      <c r="S40" s="109" t="n">
        <v>45583.3906665625</v>
      </c>
      <c r="T40" s="54" t="n">
        <v>2</v>
      </c>
    </row>
    <row r="41" customFormat="false" ht="76.1" hidden="false" customHeight="false" outlineLevel="0" collapsed="false">
      <c r="D41" s="81" t="s">
        <v>530</v>
      </c>
      <c r="E41" s="82" t="s">
        <v>836</v>
      </c>
      <c r="I41" s="81" t="s">
        <v>520</v>
      </c>
      <c r="L41" s="82" t="s">
        <v>520</v>
      </c>
      <c r="N41" s="120" t="s">
        <v>522</v>
      </c>
      <c r="O41" s="81" t="n">
        <v>35</v>
      </c>
      <c r="P41" s="81" t="n">
        <v>7</v>
      </c>
      <c r="Q41" s="81" t="s">
        <v>404</v>
      </c>
      <c r="R41" s="81" t="s">
        <v>389</v>
      </c>
      <c r="S41" s="109" t="n">
        <v>45583.3906665625</v>
      </c>
      <c r="T41" s="121" t="s">
        <v>837</v>
      </c>
    </row>
    <row r="42" customFormat="false" ht="15" hidden="false" customHeight="false" outlineLevel="0" collapsed="false">
      <c r="B42" s="82" t="s">
        <v>405</v>
      </c>
      <c r="C42" s="81" t="s">
        <v>520</v>
      </c>
      <c r="F42" s="81" t="s">
        <v>520</v>
      </c>
      <c r="K42" s="81" t="n">
        <v>3</v>
      </c>
      <c r="N42" s="113" t="s">
        <v>526</v>
      </c>
      <c r="O42" s="81" t="n">
        <v>36</v>
      </c>
      <c r="P42" s="81" t="n">
        <v>7</v>
      </c>
      <c r="Q42" s="81" t="s">
        <v>404</v>
      </c>
      <c r="R42" s="81" t="s">
        <v>389</v>
      </c>
      <c r="S42" s="109" t="n">
        <v>45583.3920397569</v>
      </c>
      <c r="T42" s="54" t="s">
        <v>180</v>
      </c>
    </row>
    <row r="43" customFormat="false" ht="26.1" hidden="false" customHeight="false" outlineLevel="0" collapsed="false">
      <c r="D43" s="81" t="s">
        <v>530</v>
      </c>
      <c r="I43" s="81" t="s">
        <v>520</v>
      </c>
      <c r="L43" s="82" t="s">
        <v>520</v>
      </c>
      <c r="N43" s="111" t="s">
        <v>522</v>
      </c>
      <c r="O43" s="81" t="n">
        <v>37</v>
      </c>
      <c r="P43" s="81" t="n">
        <v>7</v>
      </c>
      <c r="Q43" s="81" t="s">
        <v>404</v>
      </c>
      <c r="R43" s="81" t="s">
        <v>389</v>
      </c>
      <c r="S43" s="109" t="n">
        <v>45583.3920397569</v>
      </c>
      <c r="T43" s="112" t="s">
        <v>838</v>
      </c>
    </row>
    <row r="44" customFormat="false" ht="15" hidden="false" customHeight="false" outlineLevel="0" collapsed="false">
      <c r="F44" s="81" t="s">
        <v>530</v>
      </c>
      <c r="K44" s="81" t="n">
        <v>3</v>
      </c>
      <c r="N44" s="113" t="s">
        <v>526</v>
      </c>
      <c r="O44" s="81" t="n">
        <v>38</v>
      </c>
      <c r="P44" s="81" t="n">
        <v>7</v>
      </c>
      <c r="Q44" s="81" t="s">
        <v>404</v>
      </c>
      <c r="R44" s="81" t="s">
        <v>389</v>
      </c>
      <c r="S44" s="109" t="n">
        <v>45583.3934060185</v>
      </c>
      <c r="T44" s="54" t="s">
        <v>181</v>
      </c>
    </row>
    <row r="45" customFormat="false" ht="76.1" hidden="false" customHeight="false" outlineLevel="0" collapsed="false">
      <c r="D45" s="81" t="s">
        <v>520</v>
      </c>
      <c r="G45" s="81" t="s">
        <v>520</v>
      </c>
      <c r="I45" s="81" t="s">
        <v>530</v>
      </c>
      <c r="J45" s="106" t="s">
        <v>532</v>
      </c>
      <c r="L45" s="82" t="s">
        <v>520</v>
      </c>
      <c r="N45" s="120" t="s">
        <v>522</v>
      </c>
      <c r="O45" s="81" t="n">
        <v>39</v>
      </c>
      <c r="P45" s="81" t="n">
        <v>7</v>
      </c>
      <c r="Q45" s="81" t="s">
        <v>405</v>
      </c>
      <c r="R45" s="81" t="s">
        <v>534</v>
      </c>
      <c r="S45" s="109" t="n">
        <v>45583.3934060185</v>
      </c>
      <c r="T45" s="121" t="s">
        <v>839</v>
      </c>
    </row>
    <row r="46" customFormat="false" ht="15" hidden="false" customHeight="false" outlineLevel="0" collapsed="false">
      <c r="F46" s="81" t="s">
        <v>520</v>
      </c>
      <c r="K46" s="81" t="n">
        <v>3</v>
      </c>
      <c r="N46" s="113" t="s">
        <v>526</v>
      </c>
      <c r="O46" s="81" t="n">
        <v>40</v>
      </c>
      <c r="P46" s="81" t="n">
        <v>7</v>
      </c>
      <c r="Q46" s="81" t="s">
        <v>405</v>
      </c>
      <c r="R46" s="81" t="s">
        <v>534</v>
      </c>
      <c r="S46" s="109" t="n">
        <v>45583.3944011227</v>
      </c>
      <c r="T46" s="54" t="n">
        <v>1</v>
      </c>
    </row>
    <row r="47" customFormat="false" ht="76.1" hidden="false" customHeight="false" outlineLevel="0" collapsed="false">
      <c r="D47" s="81" t="s">
        <v>530</v>
      </c>
      <c r="E47" s="82" t="s">
        <v>840</v>
      </c>
      <c r="I47" s="81" t="s">
        <v>520</v>
      </c>
      <c r="N47" s="111" t="s">
        <v>522</v>
      </c>
      <c r="O47" s="81" t="n">
        <v>41</v>
      </c>
      <c r="P47" s="81" t="n">
        <v>12</v>
      </c>
      <c r="Q47" s="81" t="s">
        <v>405</v>
      </c>
      <c r="R47" s="81" t="s">
        <v>389</v>
      </c>
      <c r="S47" s="109" t="n">
        <v>45583.3944011227</v>
      </c>
      <c r="T47" s="112" t="s">
        <v>841</v>
      </c>
    </row>
    <row r="48" customFormat="false" ht="15" hidden="false" customHeight="false" outlineLevel="0" collapsed="false">
      <c r="F48" s="81" t="s">
        <v>530</v>
      </c>
      <c r="K48" s="81" t="n">
        <v>3</v>
      </c>
      <c r="N48" s="113" t="s">
        <v>526</v>
      </c>
      <c r="O48" s="81" t="n">
        <v>42</v>
      </c>
      <c r="P48" s="81" t="n">
        <v>12</v>
      </c>
      <c r="Q48" s="81" t="s">
        <v>405</v>
      </c>
      <c r="R48" s="81" t="s">
        <v>389</v>
      </c>
      <c r="S48" s="109" t="n">
        <v>45583.3949160764</v>
      </c>
      <c r="T48" s="54" t="s">
        <v>182</v>
      </c>
    </row>
    <row r="49" customFormat="false" ht="15" hidden="false" customHeight="false" outlineLevel="0" collapsed="false">
      <c r="D49" s="81" t="s">
        <v>530</v>
      </c>
      <c r="G49" s="81" t="s">
        <v>530</v>
      </c>
      <c r="I49" s="81" t="s">
        <v>520</v>
      </c>
      <c r="L49" s="82" t="s">
        <v>520</v>
      </c>
      <c r="N49" s="120" t="s">
        <v>522</v>
      </c>
      <c r="O49" s="81" t="n">
        <v>43</v>
      </c>
      <c r="P49" s="81" t="n">
        <v>12</v>
      </c>
      <c r="Q49" s="81" t="s">
        <v>405</v>
      </c>
      <c r="R49" s="81" t="s">
        <v>389</v>
      </c>
      <c r="S49" s="109" t="n">
        <v>45583.3949160764</v>
      </c>
      <c r="T49" s="121" t="s">
        <v>842</v>
      </c>
    </row>
    <row r="50" customFormat="false" ht="26.1" hidden="false" customHeight="false" outlineLevel="0" collapsed="false">
      <c r="B50" s="82" t="s">
        <v>409</v>
      </c>
      <c r="C50" s="81" t="s">
        <v>530</v>
      </c>
      <c r="F50" s="81" t="s">
        <v>530</v>
      </c>
      <c r="K50" s="81" t="n">
        <v>3</v>
      </c>
      <c r="N50" s="113" t="s">
        <v>526</v>
      </c>
      <c r="O50" s="81" t="n">
        <v>44</v>
      </c>
      <c r="P50" s="81" t="n">
        <v>12</v>
      </c>
      <c r="Q50" s="81" t="s">
        <v>405</v>
      </c>
      <c r="R50" s="81" t="s">
        <v>389</v>
      </c>
      <c r="S50" s="109" t="n">
        <v>45583.3959627083</v>
      </c>
      <c r="T50" s="54" t="s">
        <v>183</v>
      </c>
    </row>
    <row r="51" customFormat="false" ht="76.1" hidden="false" customHeight="false" outlineLevel="0" collapsed="false">
      <c r="D51" s="81" t="s">
        <v>530</v>
      </c>
      <c r="G51" s="81" t="s">
        <v>530</v>
      </c>
      <c r="I51" s="81" t="s">
        <v>530</v>
      </c>
      <c r="J51" s="106" t="s">
        <v>532</v>
      </c>
      <c r="L51" s="82" t="s">
        <v>520</v>
      </c>
      <c r="N51" s="111" t="s">
        <v>522</v>
      </c>
      <c r="O51" s="81" t="n">
        <v>45</v>
      </c>
      <c r="P51" s="81" t="n">
        <v>12</v>
      </c>
      <c r="Q51" s="81" t="s">
        <v>405</v>
      </c>
      <c r="R51" s="81" t="s">
        <v>389</v>
      </c>
      <c r="S51" s="109" t="n">
        <v>45583.3959627083</v>
      </c>
      <c r="T51" s="112" t="s">
        <v>843</v>
      </c>
    </row>
    <row r="52" customFormat="false" ht="15" hidden="false" customHeight="false" outlineLevel="0" collapsed="false">
      <c r="F52" s="81" t="s">
        <v>530</v>
      </c>
      <c r="K52" s="81" t="n">
        <v>3</v>
      </c>
      <c r="N52" s="113" t="s">
        <v>526</v>
      </c>
      <c r="O52" s="81" t="n">
        <v>46</v>
      </c>
      <c r="P52" s="81" t="n">
        <v>12</v>
      </c>
      <c r="Q52" s="81" t="s">
        <v>405</v>
      </c>
      <c r="R52" s="81" t="s">
        <v>389</v>
      </c>
      <c r="S52" s="109" t="n">
        <v>45583.3975529514</v>
      </c>
      <c r="T52" s="54" t="s">
        <v>184</v>
      </c>
    </row>
    <row r="53" customFormat="false" ht="138.6" hidden="false" customHeight="false" outlineLevel="0" collapsed="false">
      <c r="D53" s="81" t="s">
        <v>530</v>
      </c>
      <c r="E53" s="82" t="s">
        <v>844</v>
      </c>
      <c r="G53" s="81" t="s">
        <v>530</v>
      </c>
      <c r="I53" s="81" t="s">
        <v>530</v>
      </c>
      <c r="J53" s="106" t="s">
        <v>532</v>
      </c>
      <c r="L53" s="82" t="s">
        <v>520</v>
      </c>
      <c r="N53" s="120" t="s">
        <v>522</v>
      </c>
      <c r="O53" s="81" t="n">
        <v>47</v>
      </c>
      <c r="Q53" s="81" t="s">
        <v>405</v>
      </c>
      <c r="R53" s="81" t="s">
        <v>585</v>
      </c>
      <c r="S53" s="109" t="n">
        <v>45583.3975529514</v>
      </c>
      <c r="T53" s="121" t="s">
        <v>845</v>
      </c>
    </row>
    <row r="54" s="43" customFormat="true" ht="15" hidden="false" customHeight="false" outlineLevel="0" collapsed="false">
      <c r="A54" s="81"/>
      <c r="B54" s="82"/>
      <c r="C54" s="81"/>
      <c r="D54" s="81"/>
      <c r="E54" s="82"/>
      <c r="F54" s="81" t="s">
        <v>520</v>
      </c>
      <c r="G54" s="81"/>
      <c r="H54" s="81"/>
      <c r="I54" s="81"/>
      <c r="J54" s="82"/>
      <c r="K54" s="81" t="n">
        <v>3</v>
      </c>
      <c r="L54" s="82"/>
      <c r="M54" s="82"/>
      <c r="N54" s="113" t="s">
        <v>526</v>
      </c>
      <c r="O54" s="81" t="n">
        <v>48</v>
      </c>
      <c r="P54" s="81" t="n">
        <v>12</v>
      </c>
      <c r="Q54" s="81" t="s">
        <v>405</v>
      </c>
      <c r="R54" s="81" t="s">
        <v>585</v>
      </c>
      <c r="S54" s="109" t="n">
        <v>45583.3999924306</v>
      </c>
      <c r="T54" s="54" t="s">
        <v>185</v>
      </c>
    </row>
    <row r="55" s="43" customFormat="true" ht="163.6" hidden="false" customHeight="false" outlineLevel="0" collapsed="false">
      <c r="A55" s="81"/>
      <c r="B55" s="82"/>
      <c r="C55" s="81"/>
      <c r="D55" s="81" t="s">
        <v>530</v>
      </c>
      <c r="E55" s="82"/>
      <c r="F55" s="81"/>
      <c r="G55" s="81"/>
      <c r="H55" s="81"/>
      <c r="I55" s="81" t="s">
        <v>520</v>
      </c>
      <c r="J55" s="82"/>
      <c r="K55" s="81"/>
      <c r="L55" s="82" t="s">
        <v>520</v>
      </c>
      <c r="M55" s="82"/>
      <c r="N55" s="111" t="s">
        <v>522</v>
      </c>
      <c r="O55" s="81" t="n">
        <v>49</v>
      </c>
      <c r="P55" s="81"/>
      <c r="Q55" s="81"/>
      <c r="R55" s="81" t="s">
        <v>585</v>
      </c>
      <c r="S55" s="109"/>
      <c r="T55" s="112" t="s">
        <v>846</v>
      </c>
    </row>
    <row r="56" s="43" customFormat="true" ht="63.6" hidden="false" customHeight="false" outlineLevel="0" collapsed="false">
      <c r="A56" s="81"/>
      <c r="B56" s="82"/>
      <c r="C56" s="81"/>
      <c r="D56" s="81"/>
      <c r="E56" s="82"/>
      <c r="F56" s="81" t="s">
        <v>520</v>
      </c>
      <c r="G56" s="81"/>
      <c r="H56" s="81"/>
      <c r="I56" s="81"/>
      <c r="J56" s="82"/>
      <c r="K56" s="81" t="n">
        <v>3</v>
      </c>
      <c r="L56" s="82"/>
      <c r="M56" s="82"/>
      <c r="N56" s="113" t="s">
        <v>526</v>
      </c>
      <c r="O56" s="81" t="n">
        <v>50</v>
      </c>
      <c r="P56" s="81" t="n">
        <v>12</v>
      </c>
      <c r="Q56" s="81" t="s">
        <v>405</v>
      </c>
      <c r="R56" s="81" t="s">
        <v>585</v>
      </c>
      <c r="S56" s="109" t="n">
        <v>45583.4017109144</v>
      </c>
      <c r="T56" s="54" t="s">
        <v>186</v>
      </c>
    </row>
    <row r="57" s="43" customFormat="true" ht="213.6" hidden="false" customHeight="false" outlineLevel="0" collapsed="false">
      <c r="A57" s="81"/>
      <c r="B57" s="82"/>
      <c r="C57" s="81"/>
      <c r="D57" s="81" t="s">
        <v>530</v>
      </c>
      <c r="E57" s="82"/>
      <c r="F57" s="81"/>
      <c r="G57" s="81"/>
      <c r="H57" s="81"/>
      <c r="I57" s="81" t="s">
        <v>530</v>
      </c>
      <c r="J57" s="106" t="s">
        <v>532</v>
      </c>
      <c r="K57" s="81"/>
      <c r="L57" s="82" t="s">
        <v>520</v>
      </c>
      <c r="M57" s="82"/>
      <c r="N57" s="120" t="s">
        <v>522</v>
      </c>
      <c r="O57" s="81" t="n">
        <v>51</v>
      </c>
      <c r="P57" s="81"/>
      <c r="Q57" s="81"/>
      <c r="R57" s="81" t="s">
        <v>585</v>
      </c>
      <c r="S57" s="109"/>
      <c r="T57" s="121" t="s">
        <v>847</v>
      </c>
    </row>
    <row r="58" s="43" customFormat="true" ht="38.6" hidden="false" customHeight="false" outlineLevel="0" collapsed="false">
      <c r="A58" s="81"/>
      <c r="B58" s="82"/>
      <c r="C58" s="81"/>
      <c r="D58" s="81"/>
      <c r="E58" s="82"/>
      <c r="F58" s="81" t="s">
        <v>520</v>
      </c>
      <c r="G58" s="81"/>
      <c r="H58" s="81"/>
      <c r="I58" s="81"/>
      <c r="J58" s="82"/>
      <c r="K58" s="81" t="n">
        <v>3</v>
      </c>
      <c r="L58" s="82"/>
      <c r="M58" s="82"/>
      <c r="N58" s="113" t="s">
        <v>526</v>
      </c>
      <c r="O58" s="122" t="n">
        <v>52</v>
      </c>
      <c r="P58" s="81" t="n">
        <v>12</v>
      </c>
      <c r="Q58" s="81" t="s">
        <v>405</v>
      </c>
      <c r="R58" s="81" t="s">
        <v>585</v>
      </c>
      <c r="S58" s="109" t="n">
        <v>45583.4034198843</v>
      </c>
      <c r="T58" s="54" t="s">
        <v>187</v>
      </c>
    </row>
    <row r="59" s="43" customFormat="true" ht="188.6" hidden="false" customHeight="false" outlineLevel="0" collapsed="false">
      <c r="A59" s="81"/>
      <c r="B59" s="82"/>
      <c r="C59" s="81"/>
      <c r="D59" s="81" t="s">
        <v>530</v>
      </c>
      <c r="E59" s="82"/>
      <c r="F59" s="81"/>
      <c r="G59" s="81"/>
      <c r="H59" s="81"/>
      <c r="I59" s="81" t="s">
        <v>520</v>
      </c>
      <c r="J59" s="82"/>
      <c r="K59" s="81"/>
      <c r="L59" s="82" t="s">
        <v>520</v>
      </c>
      <c r="M59" s="82"/>
      <c r="N59" s="111" t="s">
        <v>522</v>
      </c>
      <c r="O59" s="81" t="n">
        <v>53</v>
      </c>
      <c r="P59" s="81"/>
      <c r="Q59" s="81"/>
      <c r="R59" s="81" t="s">
        <v>585</v>
      </c>
      <c r="S59" s="90"/>
      <c r="T59" s="112" t="s">
        <v>848</v>
      </c>
    </row>
    <row r="60" s="43" customFormat="true" ht="26.1" hidden="false" customHeight="false" outlineLevel="0" collapsed="false">
      <c r="A60" s="81"/>
      <c r="B60" s="82"/>
      <c r="C60" s="81"/>
      <c r="D60" s="81"/>
      <c r="E60" s="82"/>
      <c r="F60" s="81" t="s">
        <v>520</v>
      </c>
      <c r="G60" s="81"/>
      <c r="H60" s="81"/>
      <c r="I60" s="81"/>
      <c r="J60" s="82"/>
      <c r="K60" s="81" t="n">
        <v>3</v>
      </c>
      <c r="L60" s="82"/>
      <c r="M60" s="82"/>
      <c r="N60" s="113" t="s">
        <v>526</v>
      </c>
      <c r="O60" s="122" t="n">
        <v>54</v>
      </c>
      <c r="P60" s="81" t="n">
        <v>12</v>
      </c>
      <c r="Q60" s="81" t="s">
        <v>405</v>
      </c>
      <c r="R60" s="81" t="s">
        <v>585</v>
      </c>
      <c r="S60" s="109" t="n">
        <v>45583.404778912</v>
      </c>
      <c r="T60" s="54" t="s">
        <v>188</v>
      </c>
    </row>
    <row r="61" s="43" customFormat="true" ht="163.6" hidden="false" customHeight="false" outlineLevel="0" collapsed="false">
      <c r="A61" s="81"/>
      <c r="B61" s="82"/>
      <c r="C61" s="81"/>
      <c r="D61" s="81" t="s">
        <v>530</v>
      </c>
      <c r="E61" s="82"/>
      <c r="F61" s="81"/>
      <c r="G61" s="81"/>
      <c r="H61" s="81"/>
      <c r="I61" s="81" t="s">
        <v>530</v>
      </c>
      <c r="J61" s="106" t="s">
        <v>532</v>
      </c>
      <c r="K61" s="81"/>
      <c r="L61" s="82" t="s">
        <v>520</v>
      </c>
      <c r="M61" s="82"/>
      <c r="N61" s="120" t="s">
        <v>522</v>
      </c>
      <c r="O61" s="81" t="n">
        <v>55</v>
      </c>
      <c r="P61" s="81"/>
      <c r="Q61" s="81"/>
      <c r="R61" s="81" t="s">
        <v>585</v>
      </c>
      <c r="S61" s="90"/>
      <c r="T61" s="121" t="s">
        <v>849</v>
      </c>
    </row>
    <row r="62" s="43" customFormat="true" ht="15" hidden="false" customHeight="false" outlineLevel="0" collapsed="false">
      <c r="A62" s="81"/>
      <c r="B62" s="82"/>
      <c r="C62" s="81"/>
      <c r="D62" s="81"/>
      <c r="E62" s="82"/>
      <c r="F62" s="81" t="s">
        <v>520</v>
      </c>
      <c r="G62" s="81"/>
      <c r="H62" s="81"/>
      <c r="I62" s="81"/>
      <c r="J62" s="82"/>
      <c r="K62" s="81" t="n">
        <v>3</v>
      </c>
      <c r="L62" s="82"/>
      <c r="M62" s="82"/>
      <c r="N62" s="113" t="s">
        <v>526</v>
      </c>
      <c r="O62" s="81" t="n">
        <v>56</v>
      </c>
      <c r="P62" s="81" t="n">
        <v>12</v>
      </c>
      <c r="Q62" s="81" t="s">
        <v>405</v>
      </c>
      <c r="R62" s="81" t="s">
        <v>585</v>
      </c>
      <c r="S62" s="90" t="n">
        <v>45583.4058297222</v>
      </c>
      <c r="T62" s="54" t="s">
        <v>189</v>
      </c>
    </row>
    <row r="63" s="43" customFormat="true" ht="151.1" hidden="false" customHeight="false" outlineLevel="0" collapsed="false">
      <c r="A63" s="81"/>
      <c r="B63" s="82"/>
      <c r="C63" s="81"/>
      <c r="D63" s="81" t="s">
        <v>530</v>
      </c>
      <c r="E63" s="82"/>
      <c r="F63" s="81"/>
      <c r="G63" s="81"/>
      <c r="H63" s="81"/>
      <c r="I63" s="81" t="s">
        <v>530</v>
      </c>
      <c r="J63" s="106" t="s">
        <v>532</v>
      </c>
      <c r="K63" s="81"/>
      <c r="L63" s="82" t="s">
        <v>520</v>
      </c>
      <c r="M63" s="82"/>
      <c r="N63" s="111" t="s">
        <v>522</v>
      </c>
      <c r="O63" s="81" t="n">
        <v>57</v>
      </c>
      <c r="P63" s="81"/>
      <c r="Q63" s="81"/>
      <c r="R63" s="81" t="s">
        <v>585</v>
      </c>
      <c r="S63" s="90" t="n">
        <v>45583.4059953704</v>
      </c>
      <c r="T63" s="112" t="s">
        <v>850</v>
      </c>
    </row>
    <row r="64" s="43" customFormat="true" ht="15" hidden="false" customHeight="false" outlineLevel="0" collapsed="false">
      <c r="A64" s="81"/>
      <c r="B64" s="82"/>
      <c r="C64" s="81"/>
      <c r="D64" s="81"/>
      <c r="E64" s="82"/>
      <c r="F64" s="81"/>
      <c r="G64" s="81"/>
      <c r="H64" s="81"/>
      <c r="I64" s="81"/>
      <c r="J64" s="82"/>
      <c r="K64" s="81"/>
      <c r="L64" s="82"/>
      <c r="M64" s="82"/>
      <c r="N64" s="109"/>
      <c r="O64" s="81"/>
      <c r="P64" s="81"/>
      <c r="Q64" s="81"/>
      <c r="R64" s="81"/>
      <c r="S64" s="109"/>
    </row>
    <row r="65" s="43" customFormat="true" ht="15" hidden="false" customHeight="false" outlineLevel="0" collapsed="false">
      <c r="A65" s="81"/>
      <c r="B65" s="82"/>
      <c r="C65" s="81"/>
      <c r="D65" s="81"/>
      <c r="E65" s="82"/>
      <c r="F65" s="81"/>
      <c r="G65" s="81"/>
      <c r="H65" s="81"/>
      <c r="I65" s="81"/>
      <c r="J65" s="82"/>
      <c r="K65" s="81"/>
      <c r="L65" s="82"/>
      <c r="M65" s="82"/>
      <c r="N65" s="110"/>
      <c r="O65" s="81"/>
      <c r="P65" s="81"/>
      <c r="Q65" s="81"/>
      <c r="R65" s="81"/>
      <c r="S65" s="110"/>
    </row>
  </sheetData>
  <conditionalFormatting sqref="O61:S63">
    <cfRule type="expression" priority="2" aboveAverage="0" equalAverage="0" bottom="0" percent="0" rank="0" text="" dxfId="58">
      <formula>$N61="agent"</formula>
    </cfRule>
  </conditionalFormatting>
  <conditionalFormatting sqref="O59:S59">
    <cfRule type="expression" priority="3" aboveAverage="0" equalAverage="0" bottom="0" percent="0" rank="0" text="" dxfId="59">
      <formula>$N59="agent"</formula>
    </cfRule>
  </conditionalFormatting>
  <conditionalFormatting sqref="O57:S57">
    <cfRule type="expression" priority="4" aboveAverage="0" equalAverage="0" bottom="0" percent="0" rank="0" text="" dxfId="60">
      <formula>$N57="agent"</formula>
    </cfRule>
  </conditionalFormatting>
  <conditionalFormatting sqref="O7:S55">
    <cfRule type="expression" priority="5" aboveAverage="0" equalAverage="0" bottom="0" percent="0" rank="0" text="" dxfId="61">
      <formula>$N7="agent"</formula>
    </cfRule>
  </conditionalFormatting>
  <conditionalFormatting sqref="N2:S6">
    <cfRule type="expression" priority="6" aboveAverage="0" equalAverage="0" bottom="0" percent="0" rank="0" text="" dxfId="62">
      <formula>$N2="agent"</formula>
    </cfRule>
  </conditionalFormatting>
  <conditionalFormatting sqref="S2">
    <cfRule type="expression" priority="7" aboveAverage="0" equalAverage="0" bottom="0" percent="0" rank="0" text="" dxfId="63">
      <formula>$N3="agent"</formula>
    </cfRule>
  </conditionalFormatting>
  <conditionalFormatting sqref="A1:S1 T1:XFD3 P56:S56 P58:S58 P60:S60 N64:S109">
    <cfRule type="expression" priority="8" aboveAverage="0" equalAverage="0" bottom="0" percent="0" rank="0" text="" dxfId="64">
      <formula>$N1="agent"</formula>
    </cfRule>
  </conditionalFormatting>
  <conditionalFormatting sqref="O56">
    <cfRule type="expression" priority="9" aboveAverage="0" equalAverage="0" bottom="0" percent="0" rank="0" text="" dxfId="65">
      <formula>$N58="agent"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62" activePane="bottomLeft" state="frozen"/>
      <selection pane="topLeft" activeCell="A1" activeCellId="0" sqref="A1"/>
      <selection pane="bottomLeft" activeCell="R71" activeCellId="0" sqref="R71"/>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9.43"/>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86"/>
    <col collapsed="false" customWidth="true" hidden="false" outlineLevel="0" max="19" min="19" style="81" width="18.14"/>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n">
        <f aca="false">COUNTIF(C7:C102,"y")/(COUNTIF(C7:C102,"y")+COUNTIF(C7:C102,"n"))</f>
        <v>0.5625</v>
      </c>
      <c r="D2" s="86" t="n">
        <f aca="false">COUNTIF(D7:D102,"y")/(COUNTIF(D7:D102,"y")+COUNTIF(D7:D102,"n"))</f>
        <v>0.666666666666667</v>
      </c>
      <c r="E2" s="86"/>
      <c r="F2" s="86" t="n">
        <f aca="false">COUNTIF(F7:F102,"y")/(COUNTIF(F7:F102,"y")+COUNTIF(F7:F102,"n"))</f>
        <v>0.90625</v>
      </c>
      <c r="G2" s="86" t="n">
        <f aca="false">COUNTIF(G7:G102,"y")/(COUNTIF(G7:G102,"y")+COUNTIF(G7:G102,"n"))</f>
        <v>0.666666666666667</v>
      </c>
      <c r="H2" s="86"/>
      <c r="I2" s="86" t="n">
        <f aca="false">COUNTIF(I7:I102,"y")/(COUNTIF(I7:I102,"y")+COUNTIF(I7:I102,"n"))</f>
        <v>0.727272727272727</v>
      </c>
      <c r="J2" s="86"/>
      <c r="K2" s="86" t="n">
        <f aca="false">COUNTIF(K7:K102,"1")</f>
        <v>0</v>
      </c>
      <c r="L2" s="86" t="n">
        <f aca="false">COUNTIF(L7:L102,"y")/(COUNTIF(L7:L102,"y")+COUNTIF(L7:L102,"n"))</f>
        <v>0.75</v>
      </c>
      <c r="M2" s="86"/>
      <c r="O2" s="87" t="n">
        <f aca="false" t="array" ref="O2:O2">LOOKUP(2,1/(O:O&lt;&gt;""),O:O)</f>
        <v>65</v>
      </c>
      <c r="R2" s="83" t="n">
        <f aca="false">COUNTIF(R7:R100,"strategy")/2</f>
        <v>13</v>
      </c>
      <c r="S2" s="88" t="n">
        <f aca="false" t="array" ref="S2:S2">LOOKUP(2,1/(S:S&lt;&gt;""),S:S)-S7</f>
        <v>3.10944045139331</v>
      </c>
      <c r="T2" s="85"/>
    </row>
    <row r="3" s="83" customFormat="true" ht="15" hidden="false" customHeight="false" outlineLevel="0" collapsed="false">
      <c r="B3" s="89"/>
      <c r="C3" s="89"/>
      <c r="D3" s="89"/>
      <c r="E3" s="89"/>
      <c r="F3" s="89"/>
      <c r="G3" s="89"/>
      <c r="H3" s="89"/>
      <c r="I3" s="89"/>
      <c r="J3" s="89"/>
      <c r="K3" s="86" t="n">
        <f aca="false">COUNTIF(K7:K102,"2")</f>
        <v>0</v>
      </c>
      <c r="L3" s="89"/>
      <c r="M3" s="89"/>
      <c r="R3" s="83" t="n">
        <f aca="false">COUNTIF(R7:R100,"frequency")/2</f>
        <v>12</v>
      </c>
      <c r="S3" s="105"/>
      <c r="T3" s="85"/>
    </row>
    <row r="4" s="83" customFormat="true" ht="15" hidden="false" customHeight="false" outlineLevel="0" collapsed="false">
      <c r="B4" s="89"/>
      <c r="C4" s="89"/>
      <c r="D4" s="89"/>
      <c r="E4" s="89"/>
      <c r="F4" s="89"/>
      <c r="G4" s="89"/>
      <c r="H4" s="89"/>
      <c r="I4" s="89"/>
      <c r="J4" s="89"/>
      <c r="K4" s="86" t="n">
        <f aca="false">COUNTIF(K7:K102,"3")</f>
        <v>30</v>
      </c>
      <c r="L4" s="89"/>
      <c r="M4" s="89"/>
      <c r="R4" s="83" t="n">
        <f aca="false">CEILING(COUNTIF(R7:R100,"complete")/2,1)</f>
        <v>7</v>
      </c>
      <c r="S4" s="105" t="n">
        <f aca="false">(S15-S8)+(S25-S20)+(S66-S26)+(S71-S68)</f>
        <v>0.0295503935267334</v>
      </c>
      <c r="T4" s="85"/>
    </row>
    <row r="5" s="83" customFormat="true" ht="15" hidden="false" customHeight="false" outlineLevel="0" collapsed="false">
      <c r="B5" s="89"/>
      <c r="C5" s="89"/>
      <c r="D5" s="89"/>
      <c r="E5" s="89"/>
      <c r="F5" s="89"/>
      <c r="G5" s="89"/>
      <c r="H5" s="89"/>
      <c r="I5" s="89"/>
      <c r="J5" s="89"/>
      <c r="K5" s="86" t="n">
        <f aca="false">COUNTIF(K7:K102,"4")</f>
        <v>2</v>
      </c>
      <c r="L5" s="89"/>
      <c r="M5" s="89"/>
      <c r="S5" s="123"/>
      <c r="T5" s="85"/>
    </row>
    <row r="6" s="92" customFormat="true" ht="15" hidden="false" customHeight="false" outlineLevel="0" collapsed="false">
      <c r="B6" s="93"/>
      <c r="C6" s="93"/>
      <c r="D6" s="93"/>
      <c r="E6" s="93"/>
      <c r="F6" s="93"/>
      <c r="G6" s="93"/>
      <c r="H6" s="93"/>
      <c r="I6" s="93"/>
      <c r="J6" s="93"/>
      <c r="K6" s="94" t="n">
        <f aca="false">COUNTIF(K7:K102,"5")</f>
        <v>0</v>
      </c>
      <c r="L6" s="93"/>
      <c r="M6" s="93"/>
      <c r="T6" s="95"/>
    </row>
    <row r="7" s="96" customFormat="true" ht="51.1" hidden="false" customHeight="false" outlineLevel="0" collapsed="false">
      <c r="B7" s="97"/>
      <c r="D7" s="96" t="s">
        <v>520</v>
      </c>
      <c r="E7" s="97"/>
      <c r="I7" s="96" t="s">
        <v>520</v>
      </c>
      <c r="J7" s="97"/>
      <c r="L7" s="97" t="s">
        <v>525</v>
      </c>
      <c r="M7" s="97"/>
      <c r="N7" s="111" t="s">
        <v>522</v>
      </c>
      <c r="O7" s="96" t="n">
        <v>1</v>
      </c>
      <c r="R7" s="96" t="s">
        <v>523</v>
      </c>
      <c r="S7" s="98" t="n">
        <v>45588.4369484375</v>
      </c>
      <c r="T7" s="112" t="s">
        <v>644</v>
      </c>
    </row>
    <row r="8" customFormat="false" ht="15" hidden="false" customHeight="false" outlineLevel="0" collapsed="false">
      <c r="F8" s="81" t="s">
        <v>520</v>
      </c>
      <c r="K8" s="81" t="n">
        <v>3</v>
      </c>
      <c r="N8" s="113" t="s">
        <v>526</v>
      </c>
      <c r="O8" s="81" t="n">
        <v>2</v>
      </c>
      <c r="R8" s="81" t="s">
        <v>523</v>
      </c>
      <c r="S8" s="90" t="n">
        <v>45588.4977012269</v>
      </c>
      <c r="T8" s="54" t="s">
        <v>190</v>
      </c>
    </row>
    <row r="9" customFormat="false" ht="63.6" hidden="false" customHeight="false" outlineLevel="0" collapsed="false">
      <c r="D9" s="81" t="s">
        <v>530</v>
      </c>
      <c r="E9" s="82" t="s">
        <v>851</v>
      </c>
      <c r="I9" s="81" t="s">
        <v>520</v>
      </c>
      <c r="L9" s="82" t="s">
        <v>520</v>
      </c>
      <c r="N9" s="120" t="s">
        <v>522</v>
      </c>
      <c r="O9" s="81" t="n">
        <v>3</v>
      </c>
      <c r="P9" s="81" t="n">
        <v>2</v>
      </c>
      <c r="R9" s="81" t="s">
        <v>389</v>
      </c>
      <c r="S9" s="90" t="n">
        <v>45588.4977012269</v>
      </c>
      <c r="T9" s="121" t="s">
        <v>852</v>
      </c>
    </row>
    <row r="10" customFormat="false" ht="124.5" hidden="false" customHeight="true" outlineLevel="0" collapsed="false">
      <c r="B10" s="82" t="s">
        <v>853</v>
      </c>
      <c r="C10" s="81" t="s">
        <v>520</v>
      </c>
      <c r="F10" s="81" t="s">
        <v>520</v>
      </c>
      <c r="K10" s="81" t="n">
        <v>3</v>
      </c>
      <c r="N10" s="113" t="s">
        <v>526</v>
      </c>
      <c r="O10" s="81" t="n">
        <v>4</v>
      </c>
      <c r="P10" s="81" t="n">
        <v>2</v>
      </c>
      <c r="R10" s="81" t="s">
        <v>389</v>
      </c>
      <c r="S10" s="90" t="n">
        <v>45588.4999395139</v>
      </c>
      <c r="T10" s="54" t="s">
        <v>191</v>
      </c>
    </row>
    <row r="11" customFormat="false" ht="138.6" hidden="false" customHeight="false" outlineLevel="0" collapsed="false">
      <c r="C11" s="81" t="s">
        <v>520</v>
      </c>
      <c r="D11" s="81" t="s">
        <v>520</v>
      </c>
      <c r="I11" s="81" t="s">
        <v>520</v>
      </c>
      <c r="L11" s="82" t="s">
        <v>520</v>
      </c>
      <c r="N11" s="111" t="s">
        <v>522</v>
      </c>
      <c r="O11" s="81" t="n">
        <v>5</v>
      </c>
      <c r="P11" s="81" t="n">
        <v>2</v>
      </c>
      <c r="Q11" s="81" t="s">
        <v>398</v>
      </c>
      <c r="R11" s="81" t="s">
        <v>534</v>
      </c>
      <c r="S11" s="90" t="n">
        <v>45588.4999395139</v>
      </c>
      <c r="T11" s="112" t="s">
        <v>854</v>
      </c>
    </row>
    <row r="12" customFormat="false" ht="15" hidden="false" customHeight="false" outlineLevel="0" collapsed="false">
      <c r="C12" s="81" t="s">
        <v>530</v>
      </c>
      <c r="F12" s="81" t="s">
        <v>520</v>
      </c>
      <c r="K12" s="81" t="n">
        <v>3</v>
      </c>
      <c r="N12" s="113" t="s">
        <v>526</v>
      </c>
      <c r="O12" s="81" t="n">
        <v>6</v>
      </c>
      <c r="P12" s="81" t="n">
        <v>2</v>
      </c>
      <c r="Q12" s="81" t="s">
        <v>398</v>
      </c>
      <c r="R12" s="81" t="s">
        <v>534</v>
      </c>
      <c r="S12" s="90" t="n">
        <v>45588.502239919</v>
      </c>
      <c r="T12" s="54" t="s">
        <v>192</v>
      </c>
    </row>
    <row r="13" customFormat="false" ht="51.1" hidden="false" customHeight="false" outlineLevel="0" collapsed="false">
      <c r="D13" s="81" t="s">
        <v>520</v>
      </c>
      <c r="I13" s="81" t="s">
        <v>530</v>
      </c>
      <c r="J13" s="106" t="s">
        <v>532</v>
      </c>
      <c r="L13" s="82" t="s">
        <v>530</v>
      </c>
      <c r="N13" s="120" t="s">
        <v>522</v>
      </c>
      <c r="O13" s="81" t="n">
        <v>7</v>
      </c>
      <c r="P13" s="81" t="n">
        <v>2</v>
      </c>
      <c r="Q13" s="81" t="s">
        <v>394</v>
      </c>
      <c r="R13" s="81" t="s">
        <v>534</v>
      </c>
      <c r="S13" s="90" t="n">
        <v>45588.502239919</v>
      </c>
      <c r="T13" s="121" t="s">
        <v>855</v>
      </c>
    </row>
    <row r="14" customFormat="false" ht="15" hidden="false" customHeight="false" outlineLevel="0" collapsed="false">
      <c r="F14" s="81" t="s">
        <v>520</v>
      </c>
      <c r="K14" s="81" t="n">
        <v>3</v>
      </c>
      <c r="N14" s="113" t="s">
        <v>526</v>
      </c>
      <c r="O14" s="81" t="n">
        <v>8</v>
      </c>
      <c r="P14" s="81" t="n">
        <v>2</v>
      </c>
      <c r="Q14" s="81" t="s">
        <v>394</v>
      </c>
      <c r="R14" s="81" t="s">
        <v>534</v>
      </c>
      <c r="S14" s="90" t="n">
        <v>45588.5030024537</v>
      </c>
      <c r="T14" s="54" t="n">
        <v>1</v>
      </c>
    </row>
    <row r="15" customFormat="false" ht="76.1" hidden="false" customHeight="false" outlineLevel="0" collapsed="false">
      <c r="D15" s="81" t="s">
        <v>520</v>
      </c>
      <c r="I15" s="81" t="s">
        <v>520</v>
      </c>
      <c r="L15" s="82" t="s">
        <v>520</v>
      </c>
      <c r="N15" s="111" t="s">
        <v>522</v>
      </c>
      <c r="O15" s="81" t="n">
        <v>9</v>
      </c>
      <c r="P15" s="81" t="n">
        <v>4</v>
      </c>
      <c r="Q15" s="81" t="s">
        <v>394</v>
      </c>
      <c r="R15" s="81" t="s">
        <v>389</v>
      </c>
      <c r="S15" s="90" t="n">
        <v>45588.5030024537</v>
      </c>
      <c r="T15" s="112" t="s">
        <v>856</v>
      </c>
    </row>
    <row r="16" customFormat="false" ht="15" hidden="false" customHeight="false" outlineLevel="0" collapsed="false">
      <c r="F16" s="81" t="s">
        <v>530</v>
      </c>
      <c r="K16" s="81" t="n">
        <v>3</v>
      </c>
      <c r="N16" s="113" t="s">
        <v>526</v>
      </c>
      <c r="O16" s="81" t="n">
        <v>10</v>
      </c>
      <c r="P16" s="81" t="n">
        <v>4</v>
      </c>
      <c r="Q16" s="81" t="s">
        <v>394</v>
      </c>
      <c r="R16" s="81" t="s">
        <v>389</v>
      </c>
      <c r="S16" s="90" t="n">
        <v>45589.8745402315</v>
      </c>
      <c r="T16" s="54" t="s">
        <v>193</v>
      </c>
    </row>
    <row r="17" customFormat="false" ht="51.1" hidden="false" customHeight="false" outlineLevel="0" collapsed="false">
      <c r="D17" s="81" t="s">
        <v>520</v>
      </c>
      <c r="G17" s="81" t="s">
        <v>520</v>
      </c>
      <c r="I17" s="81" t="s">
        <v>520</v>
      </c>
      <c r="L17" s="82" t="s">
        <v>520</v>
      </c>
      <c r="N17" s="120" t="s">
        <v>522</v>
      </c>
      <c r="O17" s="81" t="n">
        <v>11</v>
      </c>
      <c r="P17" s="81" t="n">
        <v>4</v>
      </c>
      <c r="Q17" s="81" t="s">
        <v>394</v>
      </c>
      <c r="R17" s="81" t="s">
        <v>389</v>
      </c>
      <c r="S17" s="90" t="n">
        <v>45589.8745402315</v>
      </c>
      <c r="T17" s="121" t="s">
        <v>857</v>
      </c>
    </row>
    <row r="18" customFormat="false" ht="15" hidden="false" customHeight="false" outlineLevel="0" collapsed="false">
      <c r="B18" s="82" t="s">
        <v>858</v>
      </c>
      <c r="C18" s="81" t="s">
        <v>520</v>
      </c>
      <c r="F18" s="81" t="s">
        <v>520</v>
      </c>
      <c r="K18" s="81" t="n">
        <v>3</v>
      </c>
      <c r="N18" s="113" t="s">
        <v>526</v>
      </c>
      <c r="O18" s="81" t="n">
        <v>12</v>
      </c>
      <c r="P18" s="81" t="n">
        <v>4</v>
      </c>
      <c r="Q18" s="81" t="s">
        <v>394</v>
      </c>
      <c r="R18" s="81" t="s">
        <v>389</v>
      </c>
      <c r="S18" s="90" t="n">
        <v>45589.8885349537</v>
      </c>
      <c r="T18" s="54" t="s">
        <v>194</v>
      </c>
    </row>
    <row r="19" customFormat="false" ht="63.6" hidden="false" customHeight="false" outlineLevel="0" collapsed="false">
      <c r="C19" s="81" t="s">
        <v>520</v>
      </c>
      <c r="D19" s="81" t="s">
        <v>520</v>
      </c>
      <c r="I19" s="81" t="s">
        <v>520</v>
      </c>
      <c r="L19" s="82" t="s">
        <v>520</v>
      </c>
      <c r="N19" s="111" t="s">
        <v>522</v>
      </c>
      <c r="O19" s="81" t="n">
        <v>13</v>
      </c>
      <c r="P19" s="81" t="n">
        <v>4</v>
      </c>
      <c r="Q19" s="81" t="s">
        <v>404</v>
      </c>
      <c r="R19" s="81" t="s">
        <v>534</v>
      </c>
      <c r="S19" s="90" t="n">
        <v>45589.8885349537</v>
      </c>
      <c r="T19" s="112" t="s">
        <v>859</v>
      </c>
    </row>
    <row r="20" customFormat="false" ht="15" hidden="false" customHeight="false" outlineLevel="0" collapsed="false">
      <c r="C20" s="81" t="s">
        <v>530</v>
      </c>
      <c r="F20" s="81" t="s">
        <v>520</v>
      </c>
      <c r="K20" s="81" t="n">
        <v>3</v>
      </c>
      <c r="N20" s="113" t="s">
        <v>526</v>
      </c>
      <c r="O20" s="81" t="n">
        <v>14</v>
      </c>
      <c r="P20" s="81" t="n">
        <v>4</v>
      </c>
      <c r="Q20" s="81" t="s">
        <v>404</v>
      </c>
      <c r="R20" s="81" t="s">
        <v>534</v>
      </c>
      <c r="S20" s="90" t="n">
        <v>45590.3079196181</v>
      </c>
      <c r="T20" s="54" t="n">
        <v>4</v>
      </c>
    </row>
    <row r="21" customFormat="false" ht="76.1" hidden="false" customHeight="false" outlineLevel="0" collapsed="false">
      <c r="D21" s="81" t="s">
        <v>520</v>
      </c>
      <c r="I21" s="81" t="s">
        <v>520</v>
      </c>
      <c r="L21" s="82" t="s">
        <v>520</v>
      </c>
      <c r="N21" s="120" t="s">
        <v>522</v>
      </c>
      <c r="O21" s="81" t="n">
        <v>15</v>
      </c>
      <c r="P21" s="81" t="n">
        <v>4</v>
      </c>
      <c r="Q21" s="81" t="s">
        <v>407</v>
      </c>
      <c r="R21" s="81" t="s">
        <v>534</v>
      </c>
      <c r="S21" s="90" t="n">
        <v>45590.3079196181</v>
      </c>
      <c r="T21" s="121" t="s">
        <v>860</v>
      </c>
    </row>
    <row r="22" customFormat="false" ht="15" hidden="false" customHeight="false" outlineLevel="0" collapsed="false">
      <c r="F22" s="81" t="s">
        <v>520</v>
      </c>
      <c r="K22" s="81" t="n">
        <v>3</v>
      </c>
      <c r="N22" s="113" t="s">
        <v>526</v>
      </c>
      <c r="O22" s="81" t="n">
        <v>16</v>
      </c>
      <c r="P22" s="81" t="n">
        <v>4</v>
      </c>
      <c r="Q22" s="81" t="s">
        <v>407</v>
      </c>
      <c r="R22" s="81" t="s">
        <v>534</v>
      </c>
      <c r="S22" s="90" t="n">
        <v>45590.3086458796</v>
      </c>
      <c r="T22" s="54" t="n">
        <v>4</v>
      </c>
    </row>
    <row r="23" customFormat="false" ht="76.1" hidden="false" customHeight="false" outlineLevel="0" collapsed="false">
      <c r="D23" s="81" t="s">
        <v>520</v>
      </c>
      <c r="I23" s="81" t="s">
        <v>530</v>
      </c>
      <c r="J23" s="106" t="s">
        <v>532</v>
      </c>
      <c r="L23" s="82" t="s">
        <v>530</v>
      </c>
      <c r="N23" s="111" t="s">
        <v>522</v>
      </c>
      <c r="O23" s="81" t="n">
        <v>17</v>
      </c>
      <c r="P23" s="81" t="n">
        <v>4</v>
      </c>
      <c r="Q23" s="81" t="s">
        <v>408</v>
      </c>
      <c r="R23" s="81" t="s">
        <v>534</v>
      </c>
      <c r="S23" s="90" t="n">
        <v>45590.3086458796</v>
      </c>
      <c r="T23" s="112" t="s">
        <v>861</v>
      </c>
    </row>
    <row r="24" customFormat="false" ht="15" hidden="false" customHeight="false" outlineLevel="0" collapsed="false">
      <c r="F24" s="81" t="s">
        <v>520</v>
      </c>
      <c r="K24" s="81" t="n">
        <v>3</v>
      </c>
      <c r="N24" s="113" t="s">
        <v>526</v>
      </c>
      <c r="O24" s="81" t="n">
        <v>18</v>
      </c>
      <c r="P24" s="81" t="n">
        <v>4</v>
      </c>
      <c r="Q24" s="81" t="s">
        <v>408</v>
      </c>
      <c r="R24" s="81" t="s">
        <v>534</v>
      </c>
      <c r="S24" s="90" t="n">
        <v>45590.3092092014</v>
      </c>
      <c r="T24" s="54" t="n">
        <v>2</v>
      </c>
    </row>
    <row r="25" customFormat="false" ht="76.1" hidden="false" customHeight="false" outlineLevel="0" collapsed="false">
      <c r="D25" s="81" t="s">
        <v>520</v>
      </c>
      <c r="I25" s="81" t="s">
        <v>520</v>
      </c>
      <c r="L25" s="82" t="s">
        <v>520</v>
      </c>
      <c r="N25" s="120" t="s">
        <v>522</v>
      </c>
      <c r="O25" s="81" t="n">
        <v>19</v>
      </c>
      <c r="P25" s="81" t="n">
        <v>1</v>
      </c>
      <c r="Q25" s="81" t="s">
        <v>408</v>
      </c>
      <c r="R25" s="81" t="s">
        <v>389</v>
      </c>
      <c r="S25" s="90" t="n">
        <v>45590.3092092014</v>
      </c>
      <c r="T25" s="121" t="s">
        <v>862</v>
      </c>
    </row>
    <row r="26" customFormat="false" ht="38.6" hidden="false" customHeight="false" outlineLevel="0" collapsed="false">
      <c r="B26" s="82" t="s">
        <v>863</v>
      </c>
      <c r="C26" s="81" t="s">
        <v>520</v>
      </c>
      <c r="F26" s="81" t="s">
        <v>520</v>
      </c>
      <c r="K26" s="81" t="n">
        <v>3</v>
      </c>
      <c r="N26" s="113" t="s">
        <v>526</v>
      </c>
      <c r="O26" s="81" t="n">
        <v>20</v>
      </c>
      <c r="P26" s="81" t="n">
        <v>1</v>
      </c>
      <c r="Q26" s="81" t="s">
        <v>408</v>
      </c>
      <c r="R26" s="81" t="s">
        <v>389</v>
      </c>
      <c r="S26" s="90" t="n">
        <v>45590.3144246759</v>
      </c>
      <c r="T26" s="54" t="s">
        <v>195</v>
      </c>
    </row>
    <row r="27" customFormat="false" ht="101.1" hidden="false" customHeight="false" outlineLevel="0" collapsed="false">
      <c r="C27" s="81" t="s">
        <v>530</v>
      </c>
      <c r="D27" s="81" t="s">
        <v>520</v>
      </c>
      <c r="I27" s="81" t="s">
        <v>530</v>
      </c>
      <c r="J27" s="106" t="s">
        <v>532</v>
      </c>
      <c r="L27" s="82" t="s">
        <v>520</v>
      </c>
      <c r="N27" s="111" t="s">
        <v>522</v>
      </c>
      <c r="O27" s="81" t="n">
        <v>21</v>
      </c>
      <c r="P27" s="81" t="n">
        <v>1</v>
      </c>
      <c r="Q27" s="81" t="s">
        <v>394</v>
      </c>
      <c r="R27" s="81" t="s">
        <v>534</v>
      </c>
      <c r="S27" s="90" t="n">
        <v>45590.3144246759</v>
      </c>
      <c r="T27" s="112" t="s">
        <v>864</v>
      </c>
    </row>
    <row r="28" customFormat="false" ht="15" hidden="false" customHeight="false" outlineLevel="0" collapsed="false">
      <c r="C28" s="81" t="s">
        <v>520</v>
      </c>
      <c r="F28" s="81" t="s">
        <v>520</v>
      </c>
      <c r="K28" s="81" t="n">
        <v>3</v>
      </c>
      <c r="N28" s="113" t="s">
        <v>526</v>
      </c>
      <c r="O28" s="81" t="n">
        <v>22</v>
      </c>
      <c r="P28" s="81" t="n">
        <v>1</v>
      </c>
      <c r="Q28" s="81" t="s">
        <v>394</v>
      </c>
      <c r="R28" s="81" t="s">
        <v>534</v>
      </c>
      <c r="S28" s="90" t="n">
        <v>45590.3150796991</v>
      </c>
      <c r="T28" s="54" t="n">
        <v>2</v>
      </c>
    </row>
    <row r="29" customFormat="false" ht="101.1" hidden="false" customHeight="false" outlineLevel="0" collapsed="false">
      <c r="C29" s="81" t="s">
        <v>530</v>
      </c>
      <c r="D29" s="81" t="s">
        <v>520</v>
      </c>
      <c r="I29" s="81" t="s">
        <v>530</v>
      </c>
      <c r="J29" s="106" t="s">
        <v>532</v>
      </c>
      <c r="L29" s="82" t="s">
        <v>530</v>
      </c>
      <c r="M29" s="82" t="s">
        <v>865</v>
      </c>
      <c r="N29" s="120" t="s">
        <v>522</v>
      </c>
      <c r="O29" s="81" t="n">
        <v>23</v>
      </c>
      <c r="P29" s="81" t="n">
        <v>1</v>
      </c>
      <c r="Q29" s="81" t="s">
        <v>393</v>
      </c>
      <c r="R29" s="81" t="s">
        <v>534</v>
      </c>
      <c r="S29" s="90" t="n">
        <v>45590.3150796991</v>
      </c>
      <c r="T29" s="121" t="s">
        <v>866</v>
      </c>
    </row>
    <row r="30" customFormat="false" ht="15" hidden="false" customHeight="false" outlineLevel="0" collapsed="false">
      <c r="F30" s="81" t="s">
        <v>520</v>
      </c>
      <c r="K30" s="81" t="n">
        <v>3</v>
      </c>
      <c r="N30" s="113" t="s">
        <v>526</v>
      </c>
      <c r="O30" s="81" t="n">
        <v>24</v>
      </c>
      <c r="P30" s="81" t="n">
        <v>1</v>
      </c>
      <c r="Q30" s="81" t="s">
        <v>393</v>
      </c>
      <c r="R30" s="81" t="s">
        <v>534</v>
      </c>
      <c r="S30" s="90" t="n">
        <v>45590.315684294</v>
      </c>
      <c r="T30" s="54" t="n">
        <v>2</v>
      </c>
    </row>
    <row r="31" customFormat="false" ht="113.6" hidden="false" customHeight="false" outlineLevel="0" collapsed="false">
      <c r="D31" s="81" t="s">
        <v>520</v>
      </c>
      <c r="I31" s="81" t="s">
        <v>530</v>
      </c>
      <c r="J31" s="106" t="s">
        <v>532</v>
      </c>
      <c r="L31" s="82" t="s">
        <v>530</v>
      </c>
      <c r="N31" s="111" t="s">
        <v>522</v>
      </c>
      <c r="O31" s="81" t="n">
        <v>25</v>
      </c>
      <c r="P31" s="81" t="n">
        <v>1</v>
      </c>
      <c r="Q31" s="81" t="s">
        <v>399</v>
      </c>
      <c r="R31" s="81" t="s">
        <v>534</v>
      </c>
      <c r="S31" s="90" t="n">
        <v>45590.315684294</v>
      </c>
      <c r="T31" s="112" t="s">
        <v>867</v>
      </c>
    </row>
    <row r="32" customFormat="false" ht="15" hidden="false" customHeight="false" outlineLevel="0" collapsed="false">
      <c r="F32" s="81" t="s">
        <v>520</v>
      </c>
      <c r="K32" s="81" t="n">
        <v>3</v>
      </c>
      <c r="N32" s="113" t="s">
        <v>526</v>
      </c>
      <c r="O32" s="81" t="n">
        <v>26</v>
      </c>
      <c r="P32" s="81" t="n">
        <v>1</v>
      </c>
      <c r="Q32" s="81" t="s">
        <v>399</v>
      </c>
      <c r="R32" s="81" t="s">
        <v>534</v>
      </c>
      <c r="S32" s="90" t="n">
        <v>45590.316221956</v>
      </c>
      <c r="T32" s="54" t="n">
        <v>2</v>
      </c>
    </row>
    <row r="33" customFormat="false" ht="51.1" hidden="false" customHeight="false" outlineLevel="0" collapsed="false">
      <c r="D33" s="81" t="s">
        <v>520</v>
      </c>
      <c r="I33" s="81" t="s">
        <v>520</v>
      </c>
      <c r="L33" s="82" t="s">
        <v>520</v>
      </c>
      <c r="N33" s="120" t="s">
        <v>522</v>
      </c>
      <c r="O33" s="81" t="n">
        <v>27</v>
      </c>
      <c r="P33" s="81" t="n">
        <v>6</v>
      </c>
      <c r="Q33" s="81" t="s">
        <v>399</v>
      </c>
      <c r="R33" s="81" t="s">
        <v>389</v>
      </c>
      <c r="S33" s="90" t="n">
        <v>45590.316221956</v>
      </c>
      <c r="T33" s="121" t="s">
        <v>868</v>
      </c>
    </row>
    <row r="34" customFormat="false" ht="15" hidden="false" customHeight="false" outlineLevel="0" collapsed="false">
      <c r="B34" s="82" t="s">
        <v>410</v>
      </c>
      <c r="C34" s="81" t="s">
        <v>530</v>
      </c>
      <c r="F34" s="81" t="s">
        <v>520</v>
      </c>
      <c r="K34" s="81" t="n">
        <v>3</v>
      </c>
      <c r="N34" s="113" t="s">
        <v>526</v>
      </c>
      <c r="O34" s="81" t="n">
        <v>28</v>
      </c>
      <c r="P34" s="81" t="n">
        <v>6</v>
      </c>
      <c r="Q34" s="81" t="s">
        <v>399</v>
      </c>
      <c r="R34" s="81" t="s">
        <v>389</v>
      </c>
      <c r="S34" s="90" t="n">
        <v>45590.3176176389</v>
      </c>
      <c r="T34" s="54" t="s">
        <v>196</v>
      </c>
    </row>
    <row r="35" customFormat="false" ht="63.6" hidden="false" customHeight="false" outlineLevel="0" collapsed="false">
      <c r="C35" s="81" t="s">
        <v>530</v>
      </c>
      <c r="D35" s="81" t="s">
        <v>520</v>
      </c>
      <c r="I35" s="81" t="s">
        <v>520</v>
      </c>
      <c r="L35" s="82" t="s">
        <v>520</v>
      </c>
      <c r="N35" s="111" t="s">
        <v>522</v>
      </c>
      <c r="O35" s="81" t="n">
        <v>29</v>
      </c>
      <c r="P35" s="81" t="n">
        <v>6</v>
      </c>
      <c r="Q35" s="81" t="s">
        <v>404</v>
      </c>
      <c r="R35" s="81" t="s">
        <v>534</v>
      </c>
      <c r="S35" s="90" t="n">
        <v>45590.3176176389</v>
      </c>
      <c r="T35" s="112" t="s">
        <v>869</v>
      </c>
    </row>
    <row r="36" customFormat="false" ht="15" hidden="false" customHeight="false" outlineLevel="0" collapsed="false">
      <c r="F36" s="81" t="s">
        <v>520</v>
      </c>
      <c r="K36" s="81" t="n">
        <v>3</v>
      </c>
      <c r="N36" s="113" t="s">
        <v>526</v>
      </c>
      <c r="O36" s="81" t="n">
        <v>30</v>
      </c>
      <c r="P36" s="81" t="n">
        <v>6</v>
      </c>
      <c r="Q36" s="81" t="s">
        <v>404</v>
      </c>
      <c r="R36" s="81" t="s">
        <v>534</v>
      </c>
      <c r="S36" s="90" t="n">
        <v>45590.3202858796</v>
      </c>
      <c r="T36" s="54" t="n">
        <v>4</v>
      </c>
    </row>
    <row r="37" customFormat="false" ht="63.6" hidden="false" customHeight="false" outlineLevel="0" collapsed="false">
      <c r="D37" s="81" t="s">
        <v>530</v>
      </c>
      <c r="E37" s="82" t="s">
        <v>870</v>
      </c>
      <c r="I37" s="81" t="s">
        <v>530</v>
      </c>
      <c r="J37" s="106" t="s">
        <v>532</v>
      </c>
      <c r="L37" s="82" t="s">
        <v>530</v>
      </c>
      <c r="N37" s="120" t="s">
        <v>522</v>
      </c>
      <c r="O37" s="81" t="n">
        <v>31</v>
      </c>
      <c r="P37" s="81" t="n">
        <v>5</v>
      </c>
      <c r="Q37" s="81" t="s">
        <v>404</v>
      </c>
      <c r="R37" s="81" t="s">
        <v>389</v>
      </c>
      <c r="S37" s="90" t="n">
        <v>45590.3202858796</v>
      </c>
      <c r="T37" s="121" t="s">
        <v>871</v>
      </c>
    </row>
    <row r="38" customFormat="false" ht="15" hidden="false" customHeight="false" outlineLevel="0" collapsed="false">
      <c r="B38" s="82" t="s">
        <v>402</v>
      </c>
      <c r="C38" s="81" t="s">
        <v>520</v>
      </c>
      <c r="F38" s="81" t="s">
        <v>520</v>
      </c>
      <c r="K38" s="81" t="n">
        <v>3</v>
      </c>
      <c r="N38" s="113" t="s">
        <v>526</v>
      </c>
      <c r="O38" s="81" t="n">
        <v>32</v>
      </c>
      <c r="P38" s="81" t="n">
        <v>5</v>
      </c>
      <c r="Q38" s="81" t="s">
        <v>404</v>
      </c>
      <c r="R38" s="81" t="s">
        <v>389</v>
      </c>
      <c r="S38" s="90" t="n">
        <v>45590.3227806134</v>
      </c>
      <c r="T38" s="54" t="s">
        <v>197</v>
      </c>
    </row>
    <row r="39" customFormat="false" ht="15" hidden="false" customHeight="false" outlineLevel="0" collapsed="false">
      <c r="D39" s="81" t="s">
        <v>530</v>
      </c>
      <c r="I39" s="81" t="s">
        <v>520</v>
      </c>
      <c r="L39" s="82" t="s">
        <v>520</v>
      </c>
      <c r="N39" s="111" t="s">
        <v>522</v>
      </c>
      <c r="O39" s="81" t="n">
        <v>33</v>
      </c>
      <c r="P39" s="81" t="n">
        <v>5</v>
      </c>
      <c r="Q39" s="81" t="s">
        <v>404</v>
      </c>
      <c r="R39" s="81" t="s">
        <v>389</v>
      </c>
      <c r="S39" s="90" t="n">
        <v>45590.3227806134</v>
      </c>
      <c r="T39" s="112" t="s">
        <v>872</v>
      </c>
    </row>
    <row r="40" customFormat="false" ht="38.6" hidden="false" customHeight="false" outlineLevel="0" collapsed="false">
      <c r="B40" s="82" t="s">
        <v>408</v>
      </c>
      <c r="C40" s="81" t="s">
        <v>520</v>
      </c>
      <c r="F40" s="81" t="s">
        <v>520</v>
      </c>
      <c r="K40" s="81" t="n">
        <v>3</v>
      </c>
      <c r="N40" s="113" t="s">
        <v>526</v>
      </c>
      <c r="O40" s="81" t="n">
        <v>34</v>
      </c>
      <c r="P40" s="81" t="n">
        <v>5</v>
      </c>
      <c r="Q40" s="81" t="s">
        <v>404</v>
      </c>
      <c r="R40" s="81" t="s">
        <v>389</v>
      </c>
      <c r="S40" s="90" t="n">
        <v>45590.3248640741</v>
      </c>
      <c r="T40" s="54" t="s">
        <v>198</v>
      </c>
    </row>
    <row r="41" customFormat="false" ht="76.1" hidden="false" customHeight="false" outlineLevel="0" collapsed="false">
      <c r="D41" s="81" t="s">
        <v>520</v>
      </c>
      <c r="I41" s="81" t="s">
        <v>520</v>
      </c>
      <c r="L41" s="82" t="s">
        <v>520</v>
      </c>
      <c r="N41" s="120" t="s">
        <v>522</v>
      </c>
      <c r="O41" s="81" t="n">
        <v>35</v>
      </c>
      <c r="P41" s="81" t="n">
        <v>5</v>
      </c>
      <c r="Q41" s="81" t="s">
        <v>402</v>
      </c>
      <c r="R41" s="81" t="s">
        <v>534</v>
      </c>
      <c r="S41" s="90" t="n">
        <v>45590.3248640741</v>
      </c>
      <c r="T41" s="121" t="s">
        <v>873</v>
      </c>
    </row>
    <row r="42" customFormat="false" ht="15" hidden="false" customHeight="false" outlineLevel="0" collapsed="false">
      <c r="F42" s="81" t="s">
        <v>520</v>
      </c>
      <c r="K42" s="81" t="n">
        <v>3</v>
      </c>
      <c r="N42" s="113" t="s">
        <v>526</v>
      </c>
      <c r="O42" s="81" t="n">
        <v>36</v>
      </c>
      <c r="P42" s="81" t="n">
        <v>5</v>
      </c>
      <c r="Q42" s="81" t="s">
        <v>402</v>
      </c>
      <c r="R42" s="81" t="s">
        <v>534</v>
      </c>
      <c r="S42" s="90" t="n">
        <v>45590.3252406713</v>
      </c>
      <c r="T42" s="54" t="n">
        <v>3</v>
      </c>
    </row>
    <row r="43" customFormat="false" ht="76.1" hidden="false" customHeight="false" outlineLevel="0" collapsed="false">
      <c r="D43" s="81" t="s">
        <v>520</v>
      </c>
      <c r="I43" s="81" t="s">
        <v>520</v>
      </c>
      <c r="L43" s="82" t="s">
        <v>520</v>
      </c>
      <c r="N43" s="111" t="s">
        <v>522</v>
      </c>
      <c r="O43" s="81" t="n">
        <v>37</v>
      </c>
      <c r="P43" s="81" t="n">
        <v>5</v>
      </c>
      <c r="Q43" s="81" t="s">
        <v>408</v>
      </c>
      <c r="R43" s="81" t="s">
        <v>534</v>
      </c>
      <c r="S43" s="90" t="n">
        <v>45590.3252406713</v>
      </c>
      <c r="T43" s="112" t="s">
        <v>874</v>
      </c>
    </row>
    <row r="44" customFormat="false" ht="15" hidden="false" customHeight="false" outlineLevel="0" collapsed="false">
      <c r="F44" s="81" t="s">
        <v>520</v>
      </c>
      <c r="K44" s="81" t="n">
        <v>3</v>
      </c>
      <c r="N44" s="113" t="s">
        <v>526</v>
      </c>
      <c r="O44" s="81" t="n">
        <v>38</v>
      </c>
      <c r="P44" s="81" t="n">
        <v>5</v>
      </c>
      <c r="Q44" s="81" t="s">
        <v>408</v>
      </c>
      <c r="R44" s="81" t="s">
        <v>534</v>
      </c>
      <c r="S44" s="90" t="n">
        <v>45590.3256431019</v>
      </c>
      <c r="T44" s="54" t="n">
        <v>3</v>
      </c>
    </row>
    <row r="45" customFormat="false" ht="63.6" hidden="false" customHeight="false" outlineLevel="0" collapsed="false">
      <c r="D45" s="81" t="s">
        <v>520</v>
      </c>
      <c r="I45" s="81" t="s">
        <v>520</v>
      </c>
      <c r="L45" s="82" t="s">
        <v>520</v>
      </c>
      <c r="N45" s="120" t="s">
        <v>522</v>
      </c>
      <c r="O45" s="81" t="n">
        <v>39</v>
      </c>
      <c r="P45" s="81" t="n">
        <v>3</v>
      </c>
      <c r="Q45" s="81" t="s">
        <v>408</v>
      </c>
      <c r="R45" s="81" t="s">
        <v>389</v>
      </c>
      <c r="S45" s="90" t="n">
        <v>45590.3256431019</v>
      </c>
      <c r="T45" s="121" t="s">
        <v>875</v>
      </c>
    </row>
    <row r="46" customFormat="false" ht="15" hidden="false" customHeight="false" outlineLevel="0" collapsed="false">
      <c r="F46" s="81" t="s">
        <v>530</v>
      </c>
      <c r="K46" s="81" t="n">
        <v>3</v>
      </c>
      <c r="N46" s="113" t="s">
        <v>526</v>
      </c>
      <c r="O46" s="81" t="n">
        <v>40</v>
      </c>
      <c r="P46" s="81" t="n">
        <v>3</v>
      </c>
      <c r="Q46" s="81" t="s">
        <v>408</v>
      </c>
      <c r="R46" s="81" t="s">
        <v>389</v>
      </c>
      <c r="S46" s="90" t="n">
        <v>45590.329725</v>
      </c>
      <c r="T46" s="54" t="s">
        <v>199</v>
      </c>
    </row>
    <row r="47" customFormat="false" ht="26.1" hidden="false" customHeight="false" outlineLevel="0" collapsed="false">
      <c r="D47" s="81" t="s">
        <v>520</v>
      </c>
      <c r="G47" s="81" t="s">
        <v>520</v>
      </c>
      <c r="I47" s="81" t="s">
        <v>520</v>
      </c>
      <c r="L47" s="82" t="s">
        <v>520</v>
      </c>
      <c r="N47" s="111" t="s">
        <v>522</v>
      </c>
      <c r="O47" s="81" t="n">
        <v>41</v>
      </c>
      <c r="P47" s="81" t="n">
        <v>3</v>
      </c>
      <c r="Q47" s="81" t="s">
        <v>408</v>
      </c>
      <c r="R47" s="81" t="s">
        <v>389</v>
      </c>
      <c r="S47" s="90" t="n">
        <v>45590.329725</v>
      </c>
      <c r="T47" s="112" t="s">
        <v>876</v>
      </c>
    </row>
    <row r="48" customFormat="false" ht="15" hidden="false" customHeight="false" outlineLevel="0" collapsed="false">
      <c r="B48" s="82" t="s">
        <v>877</v>
      </c>
      <c r="C48" s="81" t="s">
        <v>520</v>
      </c>
      <c r="F48" s="81" t="s">
        <v>520</v>
      </c>
      <c r="K48" s="81" t="n">
        <v>3</v>
      </c>
      <c r="N48" s="113" t="s">
        <v>526</v>
      </c>
      <c r="O48" s="81" t="n">
        <v>42</v>
      </c>
      <c r="P48" s="81" t="n">
        <v>3</v>
      </c>
      <c r="Q48" s="81" t="s">
        <v>408</v>
      </c>
      <c r="R48" s="81" t="s">
        <v>389</v>
      </c>
      <c r="S48" s="90" t="n">
        <v>45590.3310107986</v>
      </c>
      <c r="T48" s="54" t="s">
        <v>200</v>
      </c>
    </row>
    <row r="49" customFormat="false" ht="26.1" hidden="false" customHeight="false" outlineLevel="0" collapsed="false">
      <c r="C49" s="81" t="s">
        <v>530</v>
      </c>
      <c r="D49" s="81" t="s">
        <v>520</v>
      </c>
      <c r="I49" s="81" t="s">
        <v>520</v>
      </c>
      <c r="L49" s="82" t="s">
        <v>520</v>
      </c>
      <c r="N49" s="120" t="s">
        <v>522</v>
      </c>
      <c r="O49" s="81" t="n">
        <v>43</v>
      </c>
      <c r="P49" s="81" t="n">
        <v>3</v>
      </c>
      <c r="Q49" s="81" t="s">
        <v>408</v>
      </c>
      <c r="R49" s="81" t="s">
        <v>389</v>
      </c>
      <c r="S49" s="90" t="n">
        <v>45590.3310107986</v>
      </c>
      <c r="T49" s="121" t="s">
        <v>878</v>
      </c>
    </row>
    <row r="50" customFormat="false" ht="26.1" hidden="false" customHeight="false" outlineLevel="0" collapsed="false">
      <c r="F50" s="81" t="s">
        <v>520</v>
      </c>
      <c r="K50" s="81" t="n">
        <v>3</v>
      </c>
      <c r="N50" s="113" t="s">
        <v>526</v>
      </c>
      <c r="O50" s="81" t="n">
        <v>44</v>
      </c>
      <c r="P50" s="81" t="n">
        <v>3</v>
      </c>
      <c r="Q50" s="81" t="s">
        <v>408</v>
      </c>
      <c r="R50" s="81" t="s">
        <v>389</v>
      </c>
      <c r="S50" s="90" t="n">
        <v>45590.332370382</v>
      </c>
      <c r="T50" s="54" t="s">
        <v>201</v>
      </c>
    </row>
    <row r="51" customFormat="false" ht="26.1" hidden="false" customHeight="false" outlineLevel="0" collapsed="false">
      <c r="D51" s="81" t="s">
        <v>520</v>
      </c>
      <c r="I51" s="81" t="s">
        <v>520</v>
      </c>
      <c r="L51" s="82" t="s">
        <v>520</v>
      </c>
      <c r="N51" s="111" t="s">
        <v>522</v>
      </c>
      <c r="O51" s="81" t="n">
        <v>45</v>
      </c>
      <c r="P51" s="81" t="n">
        <v>3</v>
      </c>
      <c r="Q51" s="81" t="s">
        <v>408</v>
      </c>
      <c r="R51" s="81" t="s">
        <v>389</v>
      </c>
      <c r="S51" s="90" t="n">
        <v>45590.332370382</v>
      </c>
      <c r="T51" s="112" t="s">
        <v>879</v>
      </c>
    </row>
    <row r="52" customFormat="false" ht="15" hidden="false" customHeight="false" outlineLevel="0" collapsed="false">
      <c r="F52" s="81" t="s">
        <v>520</v>
      </c>
      <c r="K52" s="81" t="n">
        <v>3</v>
      </c>
      <c r="N52" s="113" t="s">
        <v>526</v>
      </c>
      <c r="O52" s="81" t="n">
        <v>46</v>
      </c>
      <c r="P52" s="81" t="n">
        <v>3</v>
      </c>
      <c r="Q52" s="81" t="s">
        <v>408</v>
      </c>
      <c r="R52" s="81" t="s">
        <v>389</v>
      </c>
      <c r="S52" s="90" t="n">
        <v>45590.3327748958</v>
      </c>
      <c r="T52" s="54" t="s">
        <v>202</v>
      </c>
    </row>
    <row r="53" customFormat="false" ht="51.1" hidden="false" customHeight="false" outlineLevel="0" collapsed="false">
      <c r="D53" s="81" t="s">
        <v>530</v>
      </c>
      <c r="I53" s="81" t="s">
        <v>530</v>
      </c>
      <c r="J53" s="106" t="s">
        <v>532</v>
      </c>
      <c r="L53" s="82" t="s">
        <v>520</v>
      </c>
      <c r="N53" s="120" t="s">
        <v>522</v>
      </c>
      <c r="O53" s="81" t="n">
        <v>47</v>
      </c>
      <c r="P53" s="81" t="n">
        <v>3</v>
      </c>
      <c r="Q53" s="81" t="s">
        <v>408</v>
      </c>
      <c r="R53" s="81" t="s">
        <v>389</v>
      </c>
      <c r="S53" s="90" t="n">
        <v>45590.3327748958</v>
      </c>
      <c r="T53" s="121" t="s">
        <v>880</v>
      </c>
    </row>
    <row r="54" customFormat="false" ht="15" hidden="false" customHeight="false" outlineLevel="0" collapsed="false">
      <c r="F54" s="81" t="s">
        <v>530</v>
      </c>
      <c r="K54" s="81" t="n">
        <v>4</v>
      </c>
      <c r="N54" s="113" t="s">
        <v>526</v>
      </c>
      <c r="O54" s="81" t="n">
        <v>48</v>
      </c>
      <c r="P54" s="81" t="n">
        <v>3</v>
      </c>
      <c r="Q54" s="81" t="s">
        <v>408</v>
      </c>
      <c r="R54" s="81" t="s">
        <v>389</v>
      </c>
      <c r="S54" s="90" t="n">
        <v>45590.3333481829</v>
      </c>
      <c r="T54" s="54" t="s">
        <v>203</v>
      </c>
    </row>
    <row r="55" customFormat="false" ht="38.6" hidden="false" customHeight="false" outlineLevel="0" collapsed="false">
      <c r="D55" s="81" t="s">
        <v>530</v>
      </c>
      <c r="E55" s="82" t="s">
        <v>881</v>
      </c>
      <c r="G55" s="81" t="s">
        <v>530</v>
      </c>
      <c r="I55" s="81" t="s">
        <v>520</v>
      </c>
      <c r="L55" s="82" t="s">
        <v>520</v>
      </c>
      <c r="M55" s="82" t="s">
        <v>882</v>
      </c>
      <c r="N55" s="111" t="s">
        <v>522</v>
      </c>
      <c r="O55" s="81" t="n">
        <v>49</v>
      </c>
      <c r="P55" s="81" t="n">
        <v>3</v>
      </c>
      <c r="Q55" s="81" t="s">
        <v>408</v>
      </c>
      <c r="R55" s="81" t="s">
        <v>389</v>
      </c>
      <c r="S55" s="90" t="n">
        <v>45590.3333481829</v>
      </c>
      <c r="T55" s="112" t="s">
        <v>883</v>
      </c>
    </row>
    <row r="56" customFormat="false" ht="15" hidden="false" customHeight="false" outlineLevel="0" collapsed="false">
      <c r="F56" s="81" t="s">
        <v>520</v>
      </c>
      <c r="K56" s="81" t="n">
        <v>3</v>
      </c>
      <c r="N56" s="113" t="s">
        <v>526</v>
      </c>
      <c r="O56" s="81" t="n">
        <v>50</v>
      </c>
      <c r="P56" s="81" t="n">
        <v>3</v>
      </c>
      <c r="Q56" s="81" t="s">
        <v>408</v>
      </c>
      <c r="R56" s="81" t="s">
        <v>389</v>
      </c>
      <c r="S56" s="90" t="n">
        <v>45590.3337340278</v>
      </c>
      <c r="T56" s="54" t="s">
        <v>204</v>
      </c>
    </row>
    <row r="57" customFormat="false" ht="63.6" hidden="false" customHeight="false" outlineLevel="0" collapsed="false">
      <c r="D57" s="81" t="s">
        <v>520</v>
      </c>
      <c r="I57" s="81" t="s">
        <v>530</v>
      </c>
      <c r="J57" s="106" t="s">
        <v>532</v>
      </c>
      <c r="L57" s="82" t="s">
        <v>530</v>
      </c>
      <c r="N57" s="120" t="s">
        <v>522</v>
      </c>
      <c r="O57" s="81" t="n">
        <v>51</v>
      </c>
      <c r="P57" s="81" t="n">
        <v>3</v>
      </c>
      <c r="Q57" s="81" t="s">
        <v>407</v>
      </c>
      <c r="R57" s="81" t="s">
        <v>534</v>
      </c>
      <c r="S57" s="90" t="n">
        <v>45590.3337340278</v>
      </c>
      <c r="T57" s="121" t="s">
        <v>884</v>
      </c>
    </row>
    <row r="58" customFormat="false" ht="15" hidden="false" customHeight="false" outlineLevel="0" collapsed="false">
      <c r="F58" s="81" t="s">
        <v>520</v>
      </c>
      <c r="K58" s="81" t="n">
        <v>3</v>
      </c>
      <c r="N58" s="113" t="s">
        <v>526</v>
      </c>
      <c r="O58" s="81" t="n">
        <v>52</v>
      </c>
      <c r="P58" s="81" t="n">
        <v>3</v>
      </c>
      <c r="Q58" s="81" t="s">
        <v>407</v>
      </c>
      <c r="R58" s="81" t="s">
        <v>534</v>
      </c>
      <c r="S58" s="90" t="n">
        <v>45590.3339851968</v>
      </c>
      <c r="T58" s="54" t="n">
        <v>1</v>
      </c>
    </row>
    <row r="59" customFormat="false" ht="138.6" hidden="false" customHeight="false" outlineLevel="0" collapsed="false">
      <c r="D59" s="81" t="s">
        <v>530</v>
      </c>
      <c r="E59" s="82" t="s">
        <v>885</v>
      </c>
      <c r="I59" s="81" t="s">
        <v>530</v>
      </c>
      <c r="J59" s="106" t="s">
        <v>532</v>
      </c>
      <c r="L59" s="82" t="s">
        <v>530</v>
      </c>
      <c r="N59" s="111" t="s">
        <v>522</v>
      </c>
      <c r="O59" s="81" t="n">
        <v>53</v>
      </c>
      <c r="Q59" s="81" t="s">
        <v>407</v>
      </c>
      <c r="R59" s="81" t="s">
        <v>585</v>
      </c>
      <c r="S59" s="90" t="n">
        <v>45590.3339851968</v>
      </c>
      <c r="T59" s="112" t="s">
        <v>886</v>
      </c>
    </row>
    <row r="60" s="43" customFormat="true" ht="15" hidden="false" customHeight="false" outlineLevel="0" collapsed="false">
      <c r="A60" s="81"/>
      <c r="B60" s="82"/>
      <c r="C60" s="81"/>
      <c r="D60" s="81"/>
      <c r="E60" s="82"/>
      <c r="F60" s="81" t="s">
        <v>520</v>
      </c>
      <c r="G60" s="81"/>
      <c r="H60" s="81"/>
      <c r="I60" s="81"/>
      <c r="J60" s="82"/>
      <c r="K60" s="81" t="n">
        <v>3</v>
      </c>
      <c r="L60" s="82"/>
      <c r="M60" s="82"/>
      <c r="N60" s="113" t="s">
        <v>526</v>
      </c>
      <c r="O60" s="81" t="n">
        <v>54</v>
      </c>
      <c r="P60" s="81" t="n">
        <v>3</v>
      </c>
      <c r="Q60" s="81" t="s">
        <v>407</v>
      </c>
      <c r="R60" s="81" t="s">
        <v>585</v>
      </c>
      <c r="S60" s="90" t="n">
        <v>45590.3345728704</v>
      </c>
      <c r="T60" s="54" t="s">
        <v>205</v>
      </c>
    </row>
    <row r="61" s="43" customFormat="true" ht="126.1" hidden="false" customHeight="false" outlineLevel="0" collapsed="false">
      <c r="A61" s="81"/>
      <c r="B61" s="82"/>
      <c r="C61" s="81"/>
      <c r="D61" s="81" t="s">
        <v>530</v>
      </c>
      <c r="E61" s="82" t="s">
        <v>885</v>
      </c>
      <c r="F61" s="81"/>
      <c r="G61" s="81"/>
      <c r="H61" s="81"/>
      <c r="I61" s="81" t="s">
        <v>520</v>
      </c>
      <c r="J61" s="82"/>
      <c r="K61" s="81"/>
      <c r="L61" s="82" t="s">
        <v>520</v>
      </c>
      <c r="M61" s="82"/>
      <c r="N61" s="120" t="s">
        <v>522</v>
      </c>
      <c r="O61" s="81" t="n">
        <v>55</v>
      </c>
      <c r="P61" s="81"/>
      <c r="Q61" s="81"/>
      <c r="R61" s="81" t="s">
        <v>585</v>
      </c>
      <c r="S61" s="90"/>
      <c r="T61" s="121" t="s">
        <v>887</v>
      </c>
    </row>
    <row r="62" s="43" customFormat="true" ht="15" hidden="false" customHeight="false" outlineLevel="0" collapsed="false">
      <c r="A62" s="81"/>
      <c r="B62" s="82"/>
      <c r="C62" s="81"/>
      <c r="D62" s="81"/>
      <c r="E62" s="82"/>
      <c r="F62" s="81" t="s">
        <v>520</v>
      </c>
      <c r="G62" s="81"/>
      <c r="H62" s="81"/>
      <c r="I62" s="81"/>
      <c r="J62" s="82"/>
      <c r="K62" s="81" t="n">
        <v>4</v>
      </c>
      <c r="L62" s="82"/>
      <c r="M62" s="82"/>
      <c r="N62" s="113" t="s">
        <v>526</v>
      </c>
      <c r="O62" s="81" t="n">
        <v>56</v>
      </c>
      <c r="P62" s="81" t="n">
        <v>3</v>
      </c>
      <c r="Q62" s="81" t="s">
        <v>407</v>
      </c>
      <c r="R62" s="81" t="s">
        <v>585</v>
      </c>
      <c r="S62" s="90" t="n">
        <v>45590.3351793982</v>
      </c>
      <c r="T62" s="54" t="s">
        <v>206</v>
      </c>
    </row>
    <row r="63" s="43" customFormat="true" ht="38.6" hidden="false" customHeight="false" outlineLevel="0" collapsed="false">
      <c r="A63" s="81"/>
      <c r="B63" s="82"/>
      <c r="C63" s="81"/>
      <c r="D63" s="81" t="s">
        <v>530</v>
      </c>
      <c r="E63" s="82"/>
      <c r="F63" s="81"/>
      <c r="G63" s="81"/>
      <c r="H63" s="81"/>
      <c r="I63" s="81" t="s">
        <v>520</v>
      </c>
      <c r="J63" s="82"/>
      <c r="K63" s="81"/>
      <c r="L63" s="82" t="s">
        <v>520</v>
      </c>
      <c r="M63" s="82"/>
      <c r="N63" s="111" t="s">
        <v>522</v>
      </c>
      <c r="O63" s="81" t="n">
        <v>57</v>
      </c>
      <c r="P63" s="81"/>
      <c r="Q63" s="81"/>
      <c r="R63" s="81" t="s">
        <v>585</v>
      </c>
      <c r="S63" s="90"/>
      <c r="T63" s="112" t="s">
        <v>888</v>
      </c>
    </row>
    <row r="64" customFormat="false" ht="15" hidden="false" customHeight="false" outlineLevel="0" collapsed="false">
      <c r="F64" s="81" t="s">
        <v>520</v>
      </c>
      <c r="K64" s="81" t="n">
        <v>3</v>
      </c>
      <c r="N64" s="113" t="s">
        <v>526</v>
      </c>
      <c r="O64" s="81" t="n">
        <v>58</v>
      </c>
      <c r="P64" s="81" t="n">
        <v>3</v>
      </c>
      <c r="Q64" s="81" t="s">
        <v>407</v>
      </c>
      <c r="R64" s="81" t="s">
        <v>585</v>
      </c>
      <c r="S64" s="90" t="n">
        <v>45590.3354694097</v>
      </c>
      <c r="T64" s="54" t="s">
        <v>207</v>
      </c>
    </row>
    <row r="65" customFormat="false" ht="26.1" hidden="false" customHeight="false" outlineLevel="0" collapsed="false">
      <c r="D65" s="81" t="s">
        <v>530</v>
      </c>
      <c r="I65" s="81" t="s">
        <v>520</v>
      </c>
      <c r="L65" s="82" t="s">
        <v>520</v>
      </c>
      <c r="N65" s="120" t="s">
        <v>522</v>
      </c>
      <c r="O65" s="81" t="n">
        <v>59</v>
      </c>
      <c r="R65" s="81" t="s">
        <v>585</v>
      </c>
      <c r="T65" s="121" t="s">
        <v>889</v>
      </c>
    </row>
    <row r="66" customFormat="false" ht="15" hidden="false" customHeight="false" outlineLevel="0" collapsed="false">
      <c r="F66" s="81" t="s">
        <v>520</v>
      </c>
      <c r="K66" s="81" t="n">
        <v>3</v>
      </c>
      <c r="N66" s="113" t="s">
        <v>526</v>
      </c>
      <c r="O66" s="81" t="n">
        <v>60</v>
      </c>
      <c r="R66" s="81" t="s">
        <v>585</v>
      </c>
      <c r="S66" s="91" t="n">
        <v>45590.3356828704</v>
      </c>
      <c r="T66" s="54" t="s">
        <v>208</v>
      </c>
    </row>
    <row r="67" customFormat="false" ht="338.6" hidden="false" customHeight="false" outlineLevel="0" collapsed="false">
      <c r="D67" s="81" t="s">
        <v>520</v>
      </c>
      <c r="I67" s="81" t="s">
        <v>520</v>
      </c>
      <c r="L67" s="82" t="s">
        <v>520</v>
      </c>
      <c r="N67" s="111" t="s">
        <v>522</v>
      </c>
      <c r="O67" s="81" t="n">
        <v>61</v>
      </c>
      <c r="R67" s="81" t="s">
        <v>585</v>
      </c>
      <c r="T67" s="112" t="s">
        <v>890</v>
      </c>
    </row>
    <row r="68" customFormat="false" ht="15" hidden="false" customHeight="false" outlineLevel="0" collapsed="false">
      <c r="F68" s="81" t="s">
        <v>520</v>
      </c>
      <c r="K68" s="81" t="n">
        <v>3</v>
      </c>
      <c r="N68" s="113" t="s">
        <v>526</v>
      </c>
      <c r="O68" s="81" t="n">
        <v>62</v>
      </c>
      <c r="R68" s="81" t="s">
        <v>585</v>
      </c>
      <c r="S68" s="91" t="n">
        <v>45591.5446875</v>
      </c>
      <c r="T68" s="54" t="s">
        <v>209</v>
      </c>
    </row>
    <row r="69" customFormat="false" ht="88.6" hidden="false" customHeight="false" outlineLevel="0" collapsed="false">
      <c r="D69" s="81" t="s">
        <v>530</v>
      </c>
      <c r="I69" s="81" t="s">
        <v>520</v>
      </c>
      <c r="L69" s="82" t="s">
        <v>530</v>
      </c>
      <c r="N69" s="120" t="s">
        <v>522</v>
      </c>
      <c r="O69" s="81" t="n">
        <v>63</v>
      </c>
      <c r="R69" s="81" t="s">
        <v>585</v>
      </c>
      <c r="T69" s="121" t="s">
        <v>891</v>
      </c>
    </row>
    <row r="70" customFormat="false" ht="15" hidden="false" customHeight="false" outlineLevel="0" collapsed="false">
      <c r="F70" s="81" t="s">
        <v>520</v>
      </c>
      <c r="K70" s="81" t="n">
        <v>3</v>
      </c>
      <c r="N70" s="113" t="s">
        <v>526</v>
      </c>
      <c r="O70" s="81" t="n">
        <v>64</v>
      </c>
      <c r="R70" s="81" t="s">
        <v>585</v>
      </c>
      <c r="S70" s="91" t="n">
        <v>45591.5459027778</v>
      </c>
      <c r="T70" s="54" t="s">
        <v>210</v>
      </c>
    </row>
    <row r="71" customFormat="false" ht="201.1" hidden="false" customHeight="false" outlineLevel="0" collapsed="false">
      <c r="D71" s="81" t="s">
        <v>530</v>
      </c>
      <c r="E71" s="82" t="s">
        <v>892</v>
      </c>
      <c r="I71" s="81" t="s">
        <v>520</v>
      </c>
      <c r="L71" s="82" t="s">
        <v>520</v>
      </c>
      <c r="N71" s="111" t="s">
        <v>522</v>
      </c>
      <c r="O71" s="81" t="n">
        <v>65</v>
      </c>
      <c r="R71" s="81" t="s">
        <v>585</v>
      </c>
      <c r="S71" s="91" t="n">
        <v>45591.5463888889</v>
      </c>
      <c r="T71" s="112" t="s">
        <v>893</v>
      </c>
    </row>
  </sheetData>
  <conditionalFormatting sqref="O7:S71">
    <cfRule type="expression" priority="2" aboveAverage="0" equalAverage="0" bottom="0" percent="0" rank="0" text="" dxfId="66">
      <formula>$N7="agent"</formula>
    </cfRule>
  </conditionalFormatting>
  <conditionalFormatting sqref="N2:S6">
    <cfRule type="expression" priority="3" aboveAverage="0" equalAverage="0" bottom="0" percent="0" rank="0" text="" dxfId="67">
      <formula>$N2="agent"</formula>
    </cfRule>
  </conditionalFormatting>
  <conditionalFormatting sqref="N72:S107">
    <cfRule type="expression" priority="4" aboveAverage="0" equalAverage="0" bottom="0" percent="0" rank="0" text="" dxfId="68">
      <formula>$N72="agent"</formula>
    </cfRule>
  </conditionalFormatting>
  <conditionalFormatting sqref="S2">
    <cfRule type="expression" priority="5" aboveAverage="0" equalAverage="0" bottom="0" percent="0" rank="0" text="" dxfId="69">
      <formula>$N3="agent"</formula>
    </cfRule>
  </conditionalFormatting>
  <conditionalFormatting sqref="A1:S1 T1:XFD3">
    <cfRule type="expression" priority="6" aboveAverage="0" equalAverage="0" bottom="0" percent="0" rank="0" text="" dxfId="70">
      <formula>$N1="agent"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39" activePane="bottomLeft" state="frozen"/>
      <selection pane="topLeft" activeCell="A1" activeCellId="0" sqref="A1"/>
      <selection pane="bottomLeft" activeCell="T290" activeCellId="0" sqref="T290"/>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9.43"/>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86"/>
    <col collapsed="false" customWidth="true" hidden="false" outlineLevel="0" max="19" min="19" style="109" width="18.14"/>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n">
        <f aca="false">COUNTIF(C7:C100,"y")/(COUNTIF(C7:C100,"y")+COUNTIF(C7:C100,"n"))</f>
        <v>0.214285714285714</v>
      </c>
      <c r="D2" s="86" t="n">
        <f aca="false">COUNTIF(D7:D100,"y")/(COUNTIF(D7:D100,"y")+COUNTIF(D7:D100,"n"))</f>
        <v>0.619047619047619</v>
      </c>
      <c r="E2" s="86"/>
      <c r="F2" s="86" t="n">
        <f aca="false">COUNTIF(F7:F100,"y")/(COUNTIF(F7:F100,"y")+COUNTIF(F7:F100,"n"))</f>
        <v>0.9</v>
      </c>
      <c r="G2" s="86" t="n">
        <f aca="false">COUNTIF(G7:G100,"y")/(COUNTIF(G7:G100,"y")+COUNTIF(G7:G100,"n"))</f>
        <v>0.5</v>
      </c>
      <c r="H2" s="86"/>
      <c r="I2" s="86" t="n">
        <f aca="false">COUNTIF(I7:I100,"y")/(COUNTIF(I7:I100,"y")+COUNTIF(I7:I100,"n"))</f>
        <v>0.619047619047619</v>
      </c>
      <c r="J2" s="86"/>
      <c r="K2" s="86" t="n">
        <f aca="false">COUNTIF(K7:K100,"1")</f>
        <v>0</v>
      </c>
      <c r="L2" s="86" t="n">
        <f aca="false">COUNTIF(L7:L100,"y")/(COUNTIF(L7:L100,"y")+COUNTIF(L7:L100,"n"))</f>
        <v>0.7</v>
      </c>
      <c r="M2" s="86"/>
      <c r="O2" s="87" t="n">
        <f aca="false" t="array" ref="O2:O2">LOOKUP(2,1/(O:O&lt;&gt;""),O:O)</f>
        <v>41</v>
      </c>
      <c r="R2" s="83" t="n">
        <f aca="false">COUNTIF(R7:R100,"strategy")/2</f>
        <v>9</v>
      </c>
      <c r="S2" s="88" t="n">
        <f aca="false" t="array" ref="S2:S2">LOOKUP(2,1/(S:S&lt;&gt;""),S:S)-S7</f>
        <v>7.21106346065061</v>
      </c>
      <c r="T2" s="85"/>
    </row>
    <row r="3" s="83" customFormat="true" ht="15" hidden="false" customHeight="false" outlineLevel="0" collapsed="false">
      <c r="B3" s="89"/>
      <c r="C3" s="89"/>
      <c r="D3" s="89"/>
      <c r="E3" s="89"/>
      <c r="F3" s="89"/>
      <c r="G3" s="89"/>
      <c r="H3" s="89"/>
      <c r="I3" s="89"/>
      <c r="J3" s="89"/>
      <c r="K3" s="86" t="n">
        <f aca="false">COUNTIF(K7:K100,"2")</f>
        <v>0</v>
      </c>
      <c r="L3" s="89"/>
      <c r="M3" s="89"/>
      <c r="R3" s="83" t="n">
        <f aca="false">COUNTIF(R7:R100,"frequency")/2</f>
        <v>10</v>
      </c>
      <c r="T3" s="85"/>
    </row>
    <row r="4" s="83" customFormat="true" ht="15" hidden="false" customHeight="false" outlineLevel="0" collapsed="false">
      <c r="B4" s="89"/>
      <c r="C4" s="89"/>
      <c r="D4" s="89"/>
      <c r="E4" s="89"/>
      <c r="F4" s="89"/>
      <c r="G4" s="89"/>
      <c r="H4" s="89"/>
      <c r="I4" s="89"/>
      <c r="J4" s="89"/>
      <c r="K4" s="86" t="n">
        <f aca="false">COUNTIF(K7:K100,"3")</f>
        <v>20</v>
      </c>
      <c r="L4" s="89"/>
      <c r="M4" s="89"/>
      <c r="R4" s="83" t="n">
        <f aca="false">CEILING(COUNTIF(R7:R100,"complete")/2,1)</f>
        <v>1</v>
      </c>
      <c r="S4" s="105" t="n">
        <f aca="false">(S29-S7)+(S47-S30)</f>
        <v>0.0109055671346141</v>
      </c>
      <c r="T4" s="85"/>
    </row>
    <row r="5" s="83" customFormat="true" ht="15" hidden="false" customHeight="false" outlineLevel="0" collapsed="false">
      <c r="B5" s="89"/>
      <c r="C5" s="89"/>
      <c r="D5" s="89"/>
      <c r="E5" s="89"/>
      <c r="F5" s="89"/>
      <c r="G5" s="89"/>
      <c r="H5" s="89"/>
      <c r="I5" s="89"/>
      <c r="J5" s="89"/>
      <c r="K5" s="86" t="n">
        <f aca="false">COUNTIF(K7:K100,"4")</f>
        <v>0</v>
      </c>
      <c r="L5" s="89"/>
      <c r="M5" s="89"/>
      <c r="T5" s="85"/>
    </row>
    <row r="6" s="92" customFormat="true" ht="15" hidden="false" customHeight="false" outlineLevel="0" collapsed="false">
      <c r="B6" s="93"/>
      <c r="C6" s="93"/>
      <c r="D6" s="93"/>
      <c r="E6" s="93"/>
      <c r="F6" s="93"/>
      <c r="G6" s="93"/>
      <c r="H6" s="93"/>
      <c r="I6" s="93"/>
      <c r="J6" s="93"/>
      <c r="K6" s="94" t="n">
        <f aca="false">COUNTIF(K7:K100,"5")</f>
        <v>0</v>
      </c>
      <c r="L6" s="93"/>
      <c r="M6" s="93"/>
      <c r="T6" s="95"/>
    </row>
    <row r="7" s="96" customFormat="true" ht="26.1" hidden="false" customHeight="false" outlineLevel="0" collapsed="false">
      <c r="B7" s="97"/>
      <c r="D7" s="96" t="s">
        <v>520</v>
      </c>
      <c r="E7" s="97"/>
      <c r="I7" s="96" t="s">
        <v>520</v>
      </c>
      <c r="J7" s="97"/>
      <c r="L7" s="97" t="s">
        <v>525</v>
      </c>
      <c r="M7" s="97"/>
      <c r="N7" s="111" t="s">
        <v>522</v>
      </c>
      <c r="O7" s="96" t="n">
        <v>1</v>
      </c>
      <c r="R7" s="96" t="s">
        <v>523</v>
      </c>
      <c r="S7" s="98" t="n">
        <v>45585.5510263542</v>
      </c>
      <c r="T7" s="112" t="s">
        <v>894</v>
      </c>
    </row>
    <row r="8" customFormat="false" ht="15" hidden="false" customHeight="false" outlineLevel="0" collapsed="false">
      <c r="F8" s="81" t="s">
        <v>520</v>
      </c>
      <c r="K8" s="81" t="n">
        <v>3</v>
      </c>
      <c r="N8" s="113" t="s">
        <v>526</v>
      </c>
      <c r="O8" s="81" t="n">
        <v>2</v>
      </c>
      <c r="R8" s="81" t="s">
        <v>523</v>
      </c>
      <c r="S8" s="90" t="n">
        <v>45585.5516604861</v>
      </c>
      <c r="T8" s="54" t="s">
        <v>211</v>
      </c>
    </row>
    <row r="9" customFormat="false" ht="38.6" hidden="false" customHeight="false" outlineLevel="0" collapsed="false">
      <c r="D9" s="81" t="s">
        <v>530</v>
      </c>
      <c r="E9" s="82" t="s">
        <v>895</v>
      </c>
      <c r="I9" s="81" t="s">
        <v>520</v>
      </c>
      <c r="L9" s="82" t="s">
        <v>520</v>
      </c>
      <c r="N9" s="120" t="s">
        <v>522</v>
      </c>
      <c r="O9" s="81" t="n">
        <v>3</v>
      </c>
      <c r="P9" s="81" t="n">
        <v>9</v>
      </c>
      <c r="R9" s="81" t="s">
        <v>389</v>
      </c>
      <c r="S9" s="90" t="n">
        <v>45585.5516604861</v>
      </c>
      <c r="T9" s="121" t="s">
        <v>896</v>
      </c>
    </row>
    <row r="10" customFormat="false" ht="124.5" hidden="false" customHeight="true" outlineLevel="0" collapsed="false">
      <c r="F10" s="81" t="s">
        <v>530</v>
      </c>
      <c r="K10" s="81" t="n">
        <v>3</v>
      </c>
      <c r="N10" s="113" t="s">
        <v>526</v>
      </c>
      <c r="O10" s="81" t="n">
        <v>4</v>
      </c>
      <c r="P10" s="81" t="n">
        <v>9</v>
      </c>
      <c r="R10" s="81" t="s">
        <v>389</v>
      </c>
      <c r="S10" s="90" t="n">
        <v>45585.5520171644</v>
      </c>
      <c r="T10" s="54" t="s">
        <v>212</v>
      </c>
    </row>
    <row r="11" customFormat="false" ht="26.1" hidden="false" customHeight="false" outlineLevel="0" collapsed="false">
      <c r="D11" s="81" t="s">
        <v>530</v>
      </c>
      <c r="E11" s="82" t="s">
        <v>897</v>
      </c>
      <c r="G11" s="81" t="s">
        <v>530</v>
      </c>
      <c r="I11" s="81" t="s">
        <v>520</v>
      </c>
      <c r="L11" s="82" t="s">
        <v>520</v>
      </c>
      <c r="N11" s="111" t="s">
        <v>522</v>
      </c>
      <c r="O11" s="81" t="n">
        <v>5</v>
      </c>
      <c r="P11" s="81" t="n">
        <v>9</v>
      </c>
      <c r="R11" s="81" t="s">
        <v>389</v>
      </c>
      <c r="S11" s="90" t="n">
        <v>45585.5520171644</v>
      </c>
      <c r="T11" s="112" t="s">
        <v>898</v>
      </c>
    </row>
    <row r="12" customFormat="false" ht="15" hidden="false" customHeight="false" outlineLevel="0" collapsed="false">
      <c r="B12" s="82" t="s">
        <v>640</v>
      </c>
      <c r="C12" s="81" t="s">
        <v>530</v>
      </c>
      <c r="F12" s="81" t="s">
        <v>520</v>
      </c>
      <c r="K12" s="81" t="n">
        <v>3</v>
      </c>
      <c r="N12" s="113" t="s">
        <v>526</v>
      </c>
      <c r="O12" s="81" t="n">
        <v>6</v>
      </c>
      <c r="P12" s="81" t="n">
        <v>9</v>
      </c>
      <c r="R12" s="81" t="s">
        <v>389</v>
      </c>
      <c r="S12" s="90" t="n">
        <v>45585.5525861574</v>
      </c>
      <c r="T12" s="54" t="s">
        <v>213</v>
      </c>
    </row>
    <row r="13" customFormat="false" ht="51.1" hidden="false" customHeight="false" outlineLevel="0" collapsed="false">
      <c r="C13" s="81" t="s">
        <v>530</v>
      </c>
      <c r="D13" s="81" t="s">
        <v>520</v>
      </c>
      <c r="I13" s="81" t="s">
        <v>530</v>
      </c>
      <c r="J13" s="106" t="s">
        <v>532</v>
      </c>
      <c r="L13" s="82" t="s">
        <v>530</v>
      </c>
      <c r="N13" s="120" t="s">
        <v>522</v>
      </c>
      <c r="O13" s="81" t="n">
        <v>7</v>
      </c>
      <c r="P13" s="81" t="n">
        <v>9</v>
      </c>
      <c r="Q13" s="81" t="s">
        <v>403</v>
      </c>
      <c r="R13" s="81" t="s">
        <v>534</v>
      </c>
      <c r="S13" s="90" t="n">
        <v>45585.5525861574</v>
      </c>
      <c r="T13" s="121" t="s">
        <v>899</v>
      </c>
    </row>
    <row r="14" customFormat="false" ht="15" hidden="false" customHeight="false" outlineLevel="0" collapsed="false">
      <c r="C14" s="81" t="s">
        <v>530</v>
      </c>
      <c r="F14" s="81" t="s">
        <v>520</v>
      </c>
      <c r="K14" s="81" t="n">
        <v>3</v>
      </c>
      <c r="N14" s="113" t="s">
        <v>526</v>
      </c>
      <c r="O14" s="81" t="n">
        <v>8</v>
      </c>
      <c r="P14" s="81" t="n">
        <v>9</v>
      </c>
      <c r="Q14" s="81" t="s">
        <v>403</v>
      </c>
      <c r="R14" s="81" t="s">
        <v>534</v>
      </c>
      <c r="S14" s="90" t="n">
        <v>45585.5531626968</v>
      </c>
      <c r="T14" s="54" t="n">
        <v>3</v>
      </c>
    </row>
    <row r="15" customFormat="false" ht="76.1" hidden="false" customHeight="false" outlineLevel="0" collapsed="false">
      <c r="C15" s="81" t="s">
        <v>530</v>
      </c>
      <c r="D15" s="81" t="s">
        <v>520</v>
      </c>
      <c r="I15" s="81" t="s">
        <v>530</v>
      </c>
      <c r="J15" s="106" t="s">
        <v>532</v>
      </c>
      <c r="L15" s="82" t="s">
        <v>530</v>
      </c>
      <c r="N15" s="111" t="s">
        <v>522</v>
      </c>
      <c r="O15" s="81" t="n">
        <v>9</v>
      </c>
      <c r="P15" s="81" t="n">
        <v>9</v>
      </c>
      <c r="Q15" s="81" t="s">
        <v>396</v>
      </c>
      <c r="R15" s="81" t="s">
        <v>534</v>
      </c>
      <c r="S15" s="90" t="n">
        <v>45585.5531626968</v>
      </c>
      <c r="T15" s="112" t="s">
        <v>900</v>
      </c>
    </row>
    <row r="16" customFormat="false" ht="15" hidden="false" customHeight="false" outlineLevel="0" collapsed="false">
      <c r="F16" s="81" t="s">
        <v>520</v>
      </c>
      <c r="K16" s="81" t="n">
        <v>3</v>
      </c>
      <c r="N16" s="113" t="s">
        <v>526</v>
      </c>
      <c r="O16" s="81" t="n">
        <v>10</v>
      </c>
      <c r="P16" s="81" t="n">
        <v>9</v>
      </c>
      <c r="Q16" s="81" t="s">
        <v>396</v>
      </c>
      <c r="R16" s="81" t="s">
        <v>534</v>
      </c>
      <c r="S16" s="90" t="n">
        <v>45585.55355625</v>
      </c>
      <c r="T16" s="54" t="n">
        <v>4</v>
      </c>
    </row>
    <row r="17" customFormat="false" ht="15" hidden="false" customHeight="false" outlineLevel="0" collapsed="false">
      <c r="D17" s="81" t="s">
        <v>530</v>
      </c>
      <c r="I17" s="81" t="s">
        <v>520</v>
      </c>
      <c r="L17" s="82" t="s">
        <v>520</v>
      </c>
      <c r="N17" s="120" t="s">
        <v>522</v>
      </c>
      <c r="O17" s="81" t="n">
        <v>11</v>
      </c>
      <c r="P17" s="81" t="n">
        <v>9</v>
      </c>
      <c r="Q17" s="81" t="s">
        <v>396</v>
      </c>
      <c r="R17" s="81" t="s">
        <v>534</v>
      </c>
      <c r="S17" s="90" t="n">
        <v>45585.55355625</v>
      </c>
      <c r="T17" s="121" t="s">
        <v>901</v>
      </c>
    </row>
    <row r="18" customFormat="false" ht="15" hidden="false" customHeight="false" outlineLevel="0" collapsed="false">
      <c r="F18" s="81" t="s">
        <v>520</v>
      </c>
      <c r="K18" s="81" t="n">
        <v>3</v>
      </c>
      <c r="N18" s="113" t="s">
        <v>526</v>
      </c>
      <c r="O18" s="81" t="n">
        <v>12</v>
      </c>
      <c r="P18" s="81" t="n">
        <v>9</v>
      </c>
      <c r="Q18" s="81" t="s">
        <v>396</v>
      </c>
      <c r="R18" s="81" t="s">
        <v>534</v>
      </c>
      <c r="S18" s="90" t="n">
        <v>45585.5538312616</v>
      </c>
      <c r="T18" s="54" t="n">
        <v>3</v>
      </c>
    </row>
    <row r="19" customFormat="false" ht="63.6" hidden="false" customHeight="false" outlineLevel="0" collapsed="false">
      <c r="D19" s="81" t="s">
        <v>520</v>
      </c>
      <c r="I19" s="81" t="s">
        <v>530</v>
      </c>
      <c r="J19" s="106" t="s">
        <v>532</v>
      </c>
      <c r="L19" s="82" t="s">
        <v>530</v>
      </c>
      <c r="N19" s="111" t="s">
        <v>522</v>
      </c>
      <c r="O19" s="81" t="n">
        <v>13</v>
      </c>
      <c r="P19" s="81" t="n">
        <v>10</v>
      </c>
      <c r="Q19" s="81" t="s">
        <v>396</v>
      </c>
      <c r="R19" s="81" t="s">
        <v>389</v>
      </c>
      <c r="S19" s="90" t="n">
        <v>45585.5538312616</v>
      </c>
      <c r="T19" s="112" t="s">
        <v>902</v>
      </c>
    </row>
    <row r="20" customFormat="false" ht="15" hidden="false" customHeight="false" outlineLevel="0" collapsed="false">
      <c r="B20" s="82" t="s">
        <v>623</v>
      </c>
      <c r="C20" s="81" t="s">
        <v>530</v>
      </c>
      <c r="F20" s="81" t="s">
        <v>520</v>
      </c>
      <c r="K20" s="81" t="n">
        <v>3</v>
      </c>
      <c r="N20" s="113" t="s">
        <v>526</v>
      </c>
      <c r="O20" s="81" t="n">
        <v>14</v>
      </c>
      <c r="P20" s="81" t="n">
        <v>10</v>
      </c>
      <c r="Q20" s="81" t="s">
        <v>396</v>
      </c>
      <c r="R20" s="81" t="s">
        <v>389</v>
      </c>
      <c r="S20" s="90" t="n">
        <v>45585.5547042593</v>
      </c>
      <c r="T20" s="54" t="s">
        <v>214</v>
      </c>
    </row>
    <row r="21" customFormat="false" ht="63.6" hidden="false" customHeight="false" outlineLevel="0" collapsed="false">
      <c r="C21" s="81" t="s">
        <v>530</v>
      </c>
      <c r="D21" s="81" t="s">
        <v>520</v>
      </c>
      <c r="I21" s="81" t="s">
        <v>530</v>
      </c>
      <c r="J21" s="106" t="s">
        <v>532</v>
      </c>
      <c r="L21" s="82" t="s">
        <v>530</v>
      </c>
      <c r="N21" s="120" t="s">
        <v>522</v>
      </c>
      <c r="O21" s="81" t="n">
        <v>15</v>
      </c>
      <c r="P21" s="81" t="n">
        <v>10</v>
      </c>
      <c r="Q21" s="81" t="s">
        <v>394</v>
      </c>
      <c r="R21" s="81" t="s">
        <v>534</v>
      </c>
      <c r="S21" s="90" t="n">
        <v>45585.5547042593</v>
      </c>
      <c r="T21" s="121" t="s">
        <v>903</v>
      </c>
    </row>
    <row r="22" customFormat="false" ht="15" hidden="false" customHeight="false" outlineLevel="0" collapsed="false">
      <c r="C22" s="81" t="s">
        <v>530</v>
      </c>
      <c r="F22" s="81" t="s">
        <v>520</v>
      </c>
      <c r="K22" s="81" t="n">
        <v>3</v>
      </c>
      <c r="N22" s="113" t="s">
        <v>526</v>
      </c>
      <c r="O22" s="81" t="n">
        <v>16</v>
      </c>
      <c r="P22" s="81" t="n">
        <v>10</v>
      </c>
      <c r="Q22" s="81" t="s">
        <v>394</v>
      </c>
      <c r="R22" s="81" t="s">
        <v>534</v>
      </c>
      <c r="S22" s="90" t="n">
        <v>45585.5551567824</v>
      </c>
      <c r="T22" s="54" t="n">
        <v>4</v>
      </c>
    </row>
    <row r="23" customFormat="false" ht="63.6" hidden="false" customHeight="false" outlineLevel="0" collapsed="false">
      <c r="C23" s="81" t="s">
        <v>530</v>
      </c>
      <c r="D23" s="81" t="s">
        <v>520</v>
      </c>
      <c r="I23" s="81" t="s">
        <v>530</v>
      </c>
      <c r="J23" s="106" t="s">
        <v>532</v>
      </c>
      <c r="L23" s="82" t="s">
        <v>530</v>
      </c>
      <c r="N23" s="111" t="s">
        <v>522</v>
      </c>
      <c r="O23" s="81" t="n">
        <v>17</v>
      </c>
      <c r="P23" s="81" t="n">
        <v>8</v>
      </c>
      <c r="Q23" s="81" t="s">
        <v>394</v>
      </c>
      <c r="R23" s="81" t="s">
        <v>389</v>
      </c>
      <c r="S23" s="90" t="n">
        <v>45585.5551567824</v>
      </c>
      <c r="T23" s="112" t="s">
        <v>904</v>
      </c>
    </row>
    <row r="24" customFormat="false" ht="15" hidden="false" customHeight="false" outlineLevel="0" collapsed="false">
      <c r="B24" s="82" t="s">
        <v>905</v>
      </c>
      <c r="C24" s="81" t="s">
        <v>520</v>
      </c>
      <c r="F24" s="81" t="s">
        <v>520</v>
      </c>
      <c r="K24" s="81" t="n">
        <v>3</v>
      </c>
      <c r="N24" s="113" t="s">
        <v>526</v>
      </c>
      <c r="O24" s="81" t="n">
        <v>18</v>
      </c>
      <c r="P24" s="81" t="n">
        <v>8</v>
      </c>
      <c r="Q24" s="81" t="s">
        <v>394</v>
      </c>
      <c r="R24" s="81" t="s">
        <v>389</v>
      </c>
      <c r="S24" s="90" t="n">
        <v>45585.555538125</v>
      </c>
      <c r="T24" s="54" t="s">
        <v>215</v>
      </c>
    </row>
    <row r="25" customFormat="false" ht="76.1" hidden="false" customHeight="false" outlineLevel="0" collapsed="false">
      <c r="C25" s="81" t="s">
        <v>530</v>
      </c>
      <c r="D25" s="81" t="s">
        <v>530</v>
      </c>
      <c r="I25" s="81" t="s">
        <v>520</v>
      </c>
      <c r="L25" s="82" t="s">
        <v>520</v>
      </c>
      <c r="N25" s="120" t="s">
        <v>522</v>
      </c>
      <c r="O25" s="81" t="n">
        <v>19</v>
      </c>
      <c r="P25" s="81" t="n">
        <v>8</v>
      </c>
      <c r="Q25" s="81" t="s">
        <v>394</v>
      </c>
      <c r="R25" s="81" t="s">
        <v>389</v>
      </c>
      <c r="S25" s="90" t="n">
        <v>45585.555538125</v>
      </c>
      <c r="T25" s="121" t="s">
        <v>906</v>
      </c>
    </row>
    <row r="26" customFormat="false" ht="15" hidden="false" customHeight="false" outlineLevel="0" collapsed="false">
      <c r="F26" s="81" t="s">
        <v>520</v>
      </c>
      <c r="K26" s="81" t="n">
        <v>3</v>
      </c>
      <c r="N26" s="113" t="s">
        <v>526</v>
      </c>
      <c r="O26" s="81" t="n">
        <v>20</v>
      </c>
      <c r="P26" s="81" t="n">
        <v>8</v>
      </c>
      <c r="Q26" s="81" t="s">
        <v>394</v>
      </c>
      <c r="R26" s="81" t="s">
        <v>389</v>
      </c>
      <c r="S26" s="90" t="n">
        <v>45585.5566078588</v>
      </c>
      <c r="T26" s="54" t="s">
        <v>216</v>
      </c>
    </row>
    <row r="27" customFormat="false" ht="63.6" hidden="false" customHeight="false" outlineLevel="0" collapsed="false">
      <c r="D27" s="81" t="s">
        <v>520</v>
      </c>
      <c r="I27" s="81" t="s">
        <v>520</v>
      </c>
      <c r="L27" s="82" t="s">
        <v>520</v>
      </c>
      <c r="N27" s="111" t="s">
        <v>522</v>
      </c>
      <c r="O27" s="81" t="n">
        <v>21</v>
      </c>
      <c r="P27" s="81" t="n">
        <v>8</v>
      </c>
      <c r="Q27" s="81" t="s">
        <v>407</v>
      </c>
      <c r="R27" s="81" t="s">
        <v>534</v>
      </c>
      <c r="S27" s="90" t="n">
        <v>45585.5566078588</v>
      </c>
      <c r="T27" s="112" t="s">
        <v>907</v>
      </c>
    </row>
    <row r="28" customFormat="false" ht="15" hidden="false" customHeight="false" outlineLevel="0" collapsed="false">
      <c r="F28" s="81" t="s">
        <v>520</v>
      </c>
      <c r="K28" s="81" t="n">
        <v>3</v>
      </c>
      <c r="N28" s="113" t="s">
        <v>526</v>
      </c>
      <c r="O28" s="81" t="n">
        <v>22</v>
      </c>
      <c r="P28" s="81" t="n">
        <v>8</v>
      </c>
      <c r="Q28" s="81" t="s">
        <v>407</v>
      </c>
      <c r="R28" s="81" t="s">
        <v>534</v>
      </c>
      <c r="S28" s="90" t="n">
        <v>45585.5571191667</v>
      </c>
      <c r="T28" s="54" t="n">
        <v>4</v>
      </c>
    </row>
    <row r="29" customFormat="false" ht="38.6" hidden="false" customHeight="false" outlineLevel="0" collapsed="false">
      <c r="D29" s="81" t="s">
        <v>520</v>
      </c>
      <c r="I29" s="81" t="s">
        <v>520</v>
      </c>
      <c r="L29" s="82" t="s">
        <v>520</v>
      </c>
      <c r="N29" s="120" t="s">
        <v>522</v>
      </c>
      <c r="O29" s="81" t="n">
        <v>23</v>
      </c>
      <c r="P29" s="81" t="n">
        <v>7</v>
      </c>
      <c r="Q29" s="81" t="s">
        <v>407</v>
      </c>
      <c r="R29" s="81" t="s">
        <v>389</v>
      </c>
      <c r="S29" s="90" t="n">
        <v>45585.5571191667</v>
      </c>
      <c r="T29" s="121" t="s">
        <v>908</v>
      </c>
    </row>
    <row r="30" customFormat="false" ht="15" hidden="false" customHeight="false" outlineLevel="0" collapsed="false">
      <c r="B30" s="82" t="s">
        <v>399</v>
      </c>
      <c r="C30" s="81" t="s">
        <v>520</v>
      </c>
      <c r="F30" s="81" t="s">
        <v>520</v>
      </c>
      <c r="K30" s="81" t="n">
        <v>3</v>
      </c>
      <c r="N30" s="113" t="s">
        <v>526</v>
      </c>
      <c r="O30" s="81" t="n">
        <v>24</v>
      </c>
      <c r="P30" s="81" t="n">
        <v>7</v>
      </c>
      <c r="Q30" s="81" t="s">
        <v>407</v>
      </c>
      <c r="R30" s="81" t="s">
        <v>389</v>
      </c>
      <c r="S30" s="90" t="n">
        <v>45592.7572770602</v>
      </c>
      <c r="T30" s="54" t="s">
        <v>217</v>
      </c>
    </row>
    <row r="31" customFormat="false" ht="63.6" hidden="false" customHeight="false" outlineLevel="0" collapsed="false">
      <c r="D31" s="81" t="s">
        <v>530</v>
      </c>
      <c r="I31" s="81" t="s">
        <v>530</v>
      </c>
      <c r="J31" s="82" t="s">
        <v>909</v>
      </c>
      <c r="L31" s="82" t="s">
        <v>520</v>
      </c>
      <c r="N31" s="111" t="s">
        <v>522</v>
      </c>
      <c r="O31" s="81" t="n">
        <v>25</v>
      </c>
      <c r="P31" s="81" t="n">
        <v>7</v>
      </c>
      <c r="Q31" s="81" t="s">
        <v>407</v>
      </c>
      <c r="R31" s="81" t="s">
        <v>389</v>
      </c>
      <c r="S31" s="90" t="n">
        <v>45592.7572770602</v>
      </c>
      <c r="T31" s="112" t="s">
        <v>910</v>
      </c>
    </row>
    <row r="32" customFormat="false" ht="15" hidden="false" customHeight="false" outlineLevel="0" collapsed="false">
      <c r="F32" s="81" t="s">
        <v>520</v>
      </c>
      <c r="K32" s="81" t="n">
        <v>3</v>
      </c>
      <c r="N32" s="113" t="s">
        <v>526</v>
      </c>
      <c r="O32" s="81" t="n">
        <v>26</v>
      </c>
      <c r="P32" s="81" t="n">
        <v>7</v>
      </c>
      <c r="Q32" s="81" t="s">
        <v>407</v>
      </c>
      <c r="R32" s="81" t="s">
        <v>389</v>
      </c>
      <c r="S32" s="90" t="n">
        <v>45592.7586049421</v>
      </c>
      <c r="T32" s="54" t="s">
        <v>218</v>
      </c>
    </row>
    <row r="33" customFormat="false" ht="76.1" hidden="false" customHeight="false" outlineLevel="0" collapsed="false">
      <c r="D33" s="81" t="s">
        <v>520</v>
      </c>
      <c r="I33" s="81" t="s">
        <v>520</v>
      </c>
      <c r="L33" s="82" t="s">
        <v>520</v>
      </c>
      <c r="N33" s="120" t="s">
        <v>522</v>
      </c>
      <c r="O33" s="81" t="n">
        <v>27</v>
      </c>
      <c r="P33" s="81" t="n">
        <v>7</v>
      </c>
      <c r="Q33" s="81" t="s">
        <v>399</v>
      </c>
      <c r="R33" s="81" t="s">
        <v>534</v>
      </c>
      <c r="S33" s="90" t="n">
        <v>45592.7586049421</v>
      </c>
      <c r="T33" s="121" t="s">
        <v>911</v>
      </c>
    </row>
    <row r="34" customFormat="false" ht="15" hidden="false" customHeight="false" outlineLevel="0" collapsed="false">
      <c r="F34" s="81" t="s">
        <v>520</v>
      </c>
      <c r="K34" s="81" t="n">
        <v>3</v>
      </c>
      <c r="N34" s="113" t="s">
        <v>526</v>
      </c>
      <c r="O34" s="81" t="n">
        <v>28</v>
      </c>
      <c r="P34" s="81" t="n">
        <v>7</v>
      </c>
      <c r="Q34" s="81" t="s">
        <v>399</v>
      </c>
      <c r="R34" s="81" t="s">
        <v>534</v>
      </c>
      <c r="S34" s="90" t="n">
        <v>45592.759244838</v>
      </c>
      <c r="T34" s="54" t="n">
        <v>1</v>
      </c>
    </row>
    <row r="35" customFormat="false" ht="63.6" hidden="false" customHeight="false" outlineLevel="0" collapsed="false">
      <c r="D35" s="81" t="s">
        <v>530</v>
      </c>
      <c r="E35" s="82" t="s">
        <v>912</v>
      </c>
      <c r="I35" s="81" t="s">
        <v>520</v>
      </c>
      <c r="L35" s="82" t="s">
        <v>520</v>
      </c>
      <c r="N35" s="111" t="s">
        <v>522</v>
      </c>
      <c r="O35" s="81" t="n">
        <v>29</v>
      </c>
      <c r="P35" s="81" t="n">
        <v>12</v>
      </c>
      <c r="Q35" s="81" t="s">
        <v>399</v>
      </c>
      <c r="R35" s="81" t="s">
        <v>389</v>
      </c>
      <c r="S35" s="90" t="n">
        <v>45592.759244838</v>
      </c>
      <c r="T35" s="112" t="s">
        <v>913</v>
      </c>
    </row>
    <row r="36" customFormat="false" ht="15" hidden="false" customHeight="false" outlineLevel="0" collapsed="false">
      <c r="B36" s="82" t="s">
        <v>408</v>
      </c>
      <c r="C36" s="81" t="s">
        <v>530</v>
      </c>
      <c r="F36" s="81" t="s">
        <v>520</v>
      </c>
      <c r="K36" s="81" t="n">
        <v>3</v>
      </c>
      <c r="N36" s="113" t="s">
        <v>526</v>
      </c>
      <c r="O36" s="81" t="n">
        <v>30</v>
      </c>
      <c r="P36" s="81" t="n">
        <v>12</v>
      </c>
      <c r="Q36" s="81" t="s">
        <v>399</v>
      </c>
      <c r="R36" s="81" t="s">
        <v>389</v>
      </c>
      <c r="S36" s="90" t="n">
        <v>45592.7600678588</v>
      </c>
      <c r="T36" s="54" t="s">
        <v>219</v>
      </c>
    </row>
    <row r="37" customFormat="false" ht="76.1" hidden="false" customHeight="false" outlineLevel="0" collapsed="false">
      <c r="C37" s="81" t="s">
        <v>530</v>
      </c>
      <c r="D37" s="81" t="s">
        <v>520</v>
      </c>
      <c r="I37" s="81" t="s">
        <v>530</v>
      </c>
      <c r="J37" s="106" t="s">
        <v>532</v>
      </c>
      <c r="L37" s="82" t="s">
        <v>520</v>
      </c>
      <c r="N37" s="120" t="s">
        <v>522</v>
      </c>
      <c r="O37" s="81" t="n">
        <v>31</v>
      </c>
      <c r="P37" s="81" t="n">
        <v>12</v>
      </c>
      <c r="Q37" s="81" t="s">
        <v>403</v>
      </c>
      <c r="R37" s="81" t="s">
        <v>534</v>
      </c>
      <c r="S37" s="90" t="n">
        <v>45592.7600678588</v>
      </c>
      <c r="T37" s="121" t="s">
        <v>914</v>
      </c>
    </row>
    <row r="38" customFormat="false" ht="15" hidden="false" customHeight="false" outlineLevel="0" collapsed="false">
      <c r="F38" s="81" t="s">
        <v>520</v>
      </c>
      <c r="K38" s="81" t="n">
        <v>3</v>
      </c>
      <c r="N38" s="113" t="s">
        <v>526</v>
      </c>
      <c r="O38" s="81" t="n">
        <v>32</v>
      </c>
      <c r="P38" s="81" t="n">
        <v>12</v>
      </c>
      <c r="Q38" s="81" t="s">
        <v>403</v>
      </c>
      <c r="R38" s="81" t="s">
        <v>534</v>
      </c>
      <c r="S38" s="90" t="n">
        <v>45592.7605625694</v>
      </c>
      <c r="T38" s="54" t="n">
        <v>4</v>
      </c>
    </row>
    <row r="39" customFormat="false" ht="15" hidden="false" customHeight="false" outlineLevel="0" collapsed="false">
      <c r="D39" s="81" t="s">
        <v>530</v>
      </c>
      <c r="I39" s="81" t="s">
        <v>520</v>
      </c>
      <c r="L39" s="82" t="s">
        <v>520</v>
      </c>
      <c r="N39" s="111" t="s">
        <v>522</v>
      </c>
      <c r="O39" s="81" t="n">
        <v>33</v>
      </c>
      <c r="P39" s="81" t="n">
        <v>12</v>
      </c>
      <c r="Q39" s="81" t="s">
        <v>403</v>
      </c>
      <c r="R39" s="81" t="s">
        <v>534</v>
      </c>
      <c r="S39" s="90" t="n">
        <v>45592.7605625694</v>
      </c>
      <c r="T39" s="112" t="s">
        <v>915</v>
      </c>
    </row>
    <row r="40" customFormat="false" ht="15" hidden="false" customHeight="false" outlineLevel="0" collapsed="false">
      <c r="F40" s="81" t="s">
        <v>530</v>
      </c>
      <c r="K40" s="81" t="n">
        <v>3</v>
      </c>
      <c r="N40" s="113" t="s">
        <v>526</v>
      </c>
      <c r="O40" s="81" t="n">
        <v>34</v>
      </c>
      <c r="P40" s="81" t="n">
        <v>12</v>
      </c>
      <c r="Q40" s="81" t="s">
        <v>403</v>
      </c>
      <c r="R40" s="81" t="s">
        <v>534</v>
      </c>
      <c r="S40" s="90" t="n">
        <v>45592.7608666898</v>
      </c>
      <c r="T40" s="54" t="n">
        <v>5</v>
      </c>
    </row>
    <row r="41" customFormat="false" ht="15" hidden="false" customHeight="false" outlineLevel="0" collapsed="false">
      <c r="D41" s="81" t="s">
        <v>520</v>
      </c>
      <c r="G41" s="81" t="s">
        <v>520</v>
      </c>
      <c r="I41" s="81" t="s">
        <v>520</v>
      </c>
      <c r="L41" s="82" t="s">
        <v>520</v>
      </c>
      <c r="N41" s="120" t="s">
        <v>522</v>
      </c>
      <c r="O41" s="81" t="n">
        <v>35</v>
      </c>
      <c r="P41" s="81" t="n">
        <v>12</v>
      </c>
      <c r="Q41" s="81" t="s">
        <v>403</v>
      </c>
      <c r="R41" s="81" t="s">
        <v>534</v>
      </c>
      <c r="S41" s="90" t="n">
        <v>45592.7608666898</v>
      </c>
      <c r="T41" s="121" t="s">
        <v>916</v>
      </c>
    </row>
    <row r="42" customFormat="false" ht="15" hidden="false" customHeight="false" outlineLevel="0" collapsed="false">
      <c r="F42" s="81" t="s">
        <v>520</v>
      </c>
      <c r="K42" s="81" t="n">
        <v>3</v>
      </c>
      <c r="N42" s="113" t="s">
        <v>526</v>
      </c>
      <c r="O42" s="81" t="n">
        <v>36</v>
      </c>
      <c r="P42" s="81" t="n">
        <v>12</v>
      </c>
      <c r="Q42" s="81" t="s">
        <v>403</v>
      </c>
      <c r="R42" s="81" t="s">
        <v>534</v>
      </c>
      <c r="S42" s="90" t="n">
        <v>45592.7610161574</v>
      </c>
      <c r="T42" s="54" t="n">
        <v>3</v>
      </c>
    </row>
    <row r="43" customFormat="false" ht="63.6" hidden="false" customHeight="false" outlineLevel="0" collapsed="false">
      <c r="D43" s="81" t="s">
        <v>520</v>
      </c>
      <c r="I43" s="81" t="s">
        <v>520</v>
      </c>
      <c r="L43" s="82" t="s">
        <v>520</v>
      </c>
      <c r="N43" s="111" t="s">
        <v>522</v>
      </c>
      <c r="O43" s="81" t="n">
        <v>37</v>
      </c>
      <c r="P43" s="81" t="n">
        <v>11</v>
      </c>
      <c r="Q43" s="81" t="s">
        <v>403</v>
      </c>
      <c r="R43" s="81" t="s">
        <v>389</v>
      </c>
      <c r="S43" s="90" t="n">
        <v>45592.7610161574</v>
      </c>
      <c r="T43" s="112" t="s">
        <v>917</v>
      </c>
    </row>
    <row r="44" customFormat="false" ht="15" hidden="false" customHeight="false" outlineLevel="0" collapsed="false">
      <c r="B44" s="82" t="s">
        <v>403</v>
      </c>
      <c r="C44" s="81" t="s">
        <v>520</v>
      </c>
      <c r="F44" s="81" t="s">
        <v>520</v>
      </c>
      <c r="K44" s="81" t="n">
        <v>3</v>
      </c>
      <c r="N44" s="113" t="s">
        <v>526</v>
      </c>
      <c r="O44" s="81" t="n">
        <v>38</v>
      </c>
      <c r="P44" s="81" t="n">
        <v>11</v>
      </c>
      <c r="Q44" s="81" t="s">
        <v>403</v>
      </c>
      <c r="R44" s="81" t="s">
        <v>389</v>
      </c>
      <c r="S44" s="90" t="n">
        <v>45592.7616993287</v>
      </c>
      <c r="T44" s="54" t="s">
        <v>220</v>
      </c>
    </row>
    <row r="45" customFormat="false" ht="63.6" hidden="false" customHeight="false" outlineLevel="0" collapsed="false">
      <c r="D45" s="81" t="s">
        <v>520</v>
      </c>
      <c r="I45" s="81" t="s">
        <v>530</v>
      </c>
      <c r="J45" s="106" t="s">
        <v>532</v>
      </c>
      <c r="L45" s="82" t="s">
        <v>530</v>
      </c>
      <c r="N45" s="120" t="s">
        <v>522</v>
      </c>
      <c r="O45" s="81" t="n">
        <v>39</v>
      </c>
      <c r="P45" s="81" t="n">
        <v>11</v>
      </c>
      <c r="Q45" s="81" t="s">
        <v>403</v>
      </c>
      <c r="R45" s="81" t="s">
        <v>534</v>
      </c>
      <c r="S45" s="90" t="n">
        <v>45592.7616993287</v>
      </c>
      <c r="T45" s="121" t="s">
        <v>918</v>
      </c>
    </row>
    <row r="46" customFormat="false" ht="15" hidden="false" customHeight="false" outlineLevel="0" collapsed="false">
      <c r="F46" s="81" t="s">
        <v>520</v>
      </c>
      <c r="K46" s="81" t="n">
        <v>3</v>
      </c>
      <c r="N46" s="113" t="s">
        <v>526</v>
      </c>
      <c r="O46" s="81" t="n">
        <v>40</v>
      </c>
      <c r="P46" s="81" t="n">
        <v>11</v>
      </c>
      <c r="Q46" s="81" t="s">
        <v>403</v>
      </c>
      <c r="R46" s="81" t="s">
        <v>534</v>
      </c>
      <c r="S46" s="90" t="n">
        <v>45592.7620898148</v>
      </c>
      <c r="T46" s="54" t="n">
        <v>4</v>
      </c>
    </row>
    <row r="47" customFormat="false" ht="88.6" hidden="false" customHeight="false" outlineLevel="0" collapsed="false">
      <c r="D47" s="81" t="s">
        <v>530</v>
      </c>
      <c r="E47" s="82" t="s">
        <v>919</v>
      </c>
      <c r="I47" s="81" t="s">
        <v>520</v>
      </c>
      <c r="L47" s="82" t="s">
        <v>520</v>
      </c>
      <c r="N47" s="111" t="s">
        <v>522</v>
      </c>
      <c r="O47" s="81" t="n">
        <v>41</v>
      </c>
      <c r="Q47" s="81" t="s">
        <v>403</v>
      </c>
      <c r="R47" s="81" t="s">
        <v>585</v>
      </c>
      <c r="S47" s="90" t="n">
        <v>45592.7620898148</v>
      </c>
      <c r="T47" s="112" t="s">
        <v>920</v>
      </c>
    </row>
    <row r="48" customFormat="false" ht="15" hidden="false" customHeight="false" outlineLevel="0" collapsed="false">
      <c r="N48" s="90"/>
      <c r="S48" s="90"/>
    </row>
    <row r="49" customFormat="false" ht="15" hidden="false" customHeight="false" outlineLevel="0" collapsed="false">
      <c r="N49" s="90"/>
      <c r="S49" s="90"/>
    </row>
    <row r="50" customFormat="false" ht="15" hidden="false" customHeight="false" outlineLevel="0" collapsed="false">
      <c r="N50" s="90"/>
      <c r="S50" s="90"/>
    </row>
    <row r="51" customFormat="false" ht="15" hidden="false" customHeight="false" outlineLevel="0" collapsed="false">
      <c r="N51" s="90"/>
      <c r="S51" s="90"/>
    </row>
    <row r="52" customFormat="false" ht="15" hidden="false" customHeight="false" outlineLevel="0" collapsed="false">
      <c r="N52" s="90"/>
      <c r="S52" s="90"/>
    </row>
    <row r="53" customFormat="false" ht="15" hidden="false" customHeight="false" outlineLevel="0" collapsed="false">
      <c r="N53" s="90"/>
      <c r="S53" s="90"/>
    </row>
    <row r="54" customFormat="false" ht="15" hidden="false" customHeight="false" outlineLevel="0" collapsed="false">
      <c r="N54" s="90"/>
      <c r="S54" s="90"/>
    </row>
    <row r="55" customFormat="false" ht="15" hidden="false" customHeight="false" outlineLevel="0" collapsed="false">
      <c r="N55" s="90"/>
      <c r="S55" s="90"/>
    </row>
    <row r="56" customFormat="false" ht="15" hidden="false" customHeight="false" outlineLevel="0" collapsed="false">
      <c r="N56" s="90"/>
      <c r="S56" s="90"/>
    </row>
    <row r="57" customFormat="false" ht="15" hidden="false" customHeight="false" outlineLevel="0" collapsed="false">
      <c r="N57" s="90"/>
      <c r="S57" s="90"/>
    </row>
    <row r="58" customFormat="false" ht="15" hidden="false" customHeight="false" outlineLevel="0" collapsed="false">
      <c r="N58" s="90"/>
      <c r="S58" s="90"/>
    </row>
    <row r="59" customFormat="false" ht="15" hidden="false" customHeight="false" outlineLevel="0" collapsed="false">
      <c r="N59" s="90"/>
      <c r="S59" s="90"/>
    </row>
    <row r="60" customFormat="false" ht="15" hidden="false" customHeight="false" outlineLevel="0" collapsed="false">
      <c r="N60" s="90"/>
      <c r="S60" s="90"/>
    </row>
    <row r="61" customFormat="false" ht="15" hidden="false" customHeight="false" outlineLevel="0" collapsed="false">
      <c r="N61" s="110"/>
      <c r="S61" s="90"/>
    </row>
    <row r="62" customFormat="false" ht="15" hidden="false" customHeight="false" outlineLevel="0" collapsed="false">
      <c r="S62" s="90"/>
    </row>
    <row r="63" customFormat="false" ht="15" hidden="false" customHeight="false" outlineLevel="0" collapsed="false">
      <c r="S63" s="90"/>
    </row>
    <row r="64" customFormat="false" ht="15" hidden="false" customHeight="false" outlineLevel="0" collapsed="false">
      <c r="S64" s="90"/>
    </row>
    <row r="65" customFormat="false" ht="15" hidden="false" customHeight="false" outlineLevel="0" collapsed="false">
      <c r="S65" s="90"/>
    </row>
    <row r="66" customFormat="false" ht="15" hidden="false" customHeight="false" outlineLevel="0" collapsed="false">
      <c r="S66" s="90"/>
    </row>
    <row r="67" customFormat="false" ht="15" hidden="false" customHeight="false" outlineLevel="0" collapsed="false">
      <c r="S67" s="90"/>
    </row>
    <row r="68" customFormat="false" ht="15" hidden="false" customHeight="false" outlineLevel="0" collapsed="false">
      <c r="S68" s="90"/>
    </row>
    <row r="69" customFormat="false" ht="15" hidden="false" customHeight="false" outlineLevel="0" collapsed="false">
      <c r="S69" s="90"/>
    </row>
    <row r="70" customFormat="false" ht="15" hidden="false" customHeight="false" outlineLevel="0" collapsed="false">
      <c r="S70" s="90"/>
    </row>
    <row r="71" customFormat="false" ht="15" hidden="false" customHeight="false" outlineLevel="0" collapsed="false">
      <c r="S71" s="90"/>
    </row>
    <row r="72" customFormat="false" ht="15" hidden="false" customHeight="false" outlineLevel="0" collapsed="false">
      <c r="S72" s="90"/>
    </row>
    <row r="73" customFormat="false" ht="15" hidden="false" customHeight="false" outlineLevel="0" collapsed="false">
      <c r="S73" s="90"/>
    </row>
    <row r="74" customFormat="false" ht="15" hidden="false" customHeight="false" outlineLevel="0" collapsed="false">
      <c r="S74" s="90"/>
    </row>
    <row r="75" customFormat="false" ht="15" hidden="false" customHeight="false" outlineLevel="0" collapsed="false">
      <c r="S75" s="90"/>
    </row>
    <row r="76" customFormat="false" ht="15" hidden="false" customHeight="false" outlineLevel="0" collapsed="false">
      <c r="S76" s="90"/>
    </row>
    <row r="77" customFormat="false" ht="15" hidden="false" customHeight="false" outlineLevel="0" collapsed="false">
      <c r="S77" s="90"/>
    </row>
    <row r="78" customFormat="false" ht="15" hidden="false" customHeight="false" outlineLevel="0" collapsed="false">
      <c r="S78" s="90"/>
    </row>
    <row r="79" customFormat="false" ht="15" hidden="false" customHeight="false" outlineLevel="0" collapsed="false">
      <c r="S79" s="90"/>
    </row>
    <row r="80" customFormat="false" ht="15" hidden="false" customHeight="false" outlineLevel="0" collapsed="false">
      <c r="S80" s="90"/>
    </row>
    <row r="81" customFormat="false" ht="15" hidden="false" customHeight="false" outlineLevel="0" collapsed="false">
      <c r="S81" s="90"/>
    </row>
    <row r="82" customFormat="false" ht="15" hidden="false" customHeight="false" outlineLevel="0" collapsed="false">
      <c r="S82" s="90"/>
    </row>
    <row r="83" customFormat="false" ht="15" hidden="false" customHeight="false" outlineLevel="0" collapsed="false">
      <c r="S83" s="90"/>
    </row>
    <row r="84" customFormat="false" ht="15" hidden="false" customHeight="false" outlineLevel="0" collapsed="false">
      <c r="S84" s="90"/>
    </row>
    <row r="85" customFormat="false" ht="15" hidden="false" customHeight="false" outlineLevel="0" collapsed="false">
      <c r="S85" s="90"/>
    </row>
    <row r="86" customFormat="false" ht="15" hidden="false" customHeight="false" outlineLevel="0" collapsed="false">
      <c r="S86" s="90"/>
    </row>
    <row r="87" customFormat="false" ht="15" hidden="false" customHeight="false" outlineLevel="0" collapsed="false">
      <c r="S87" s="90"/>
    </row>
    <row r="88" customFormat="false" ht="15" hidden="false" customHeight="false" outlineLevel="0" collapsed="false">
      <c r="S88" s="90"/>
    </row>
    <row r="89" customFormat="false" ht="15" hidden="false" customHeight="false" outlineLevel="0" collapsed="false">
      <c r="S89" s="90"/>
    </row>
    <row r="90" customFormat="false" ht="15" hidden="false" customHeight="false" outlineLevel="0" collapsed="false">
      <c r="S90" s="90"/>
    </row>
    <row r="91" customFormat="false" ht="15" hidden="false" customHeight="false" outlineLevel="0" collapsed="false">
      <c r="S91" s="90"/>
    </row>
    <row r="92" customFormat="false" ht="15" hidden="false" customHeight="false" outlineLevel="0" collapsed="false">
      <c r="S92" s="90"/>
    </row>
    <row r="93" customFormat="false" ht="15" hidden="false" customHeight="false" outlineLevel="0" collapsed="false">
      <c r="S93" s="90"/>
    </row>
    <row r="94" customFormat="false" ht="15" hidden="false" customHeight="false" outlineLevel="0" collapsed="false">
      <c r="S94" s="90"/>
    </row>
    <row r="95" customFormat="false" ht="15" hidden="false" customHeight="false" outlineLevel="0" collapsed="false">
      <c r="S95" s="90"/>
    </row>
    <row r="96" customFormat="false" ht="15" hidden="false" customHeight="false" outlineLevel="0" collapsed="false">
      <c r="S96" s="90"/>
    </row>
    <row r="97" customFormat="false" ht="15" hidden="false" customHeight="false" outlineLevel="0" collapsed="false">
      <c r="S97" s="90"/>
    </row>
    <row r="98" customFormat="false" ht="15" hidden="false" customHeight="false" outlineLevel="0" collapsed="false">
      <c r="S98" s="90"/>
    </row>
    <row r="99" customFormat="false" ht="15" hidden="false" customHeight="false" outlineLevel="0" collapsed="false">
      <c r="S99" s="90"/>
    </row>
    <row r="100" customFormat="false" ht="15" hidden="false" customHeight="false" outlineLevel="0" collapsed="false">
      <c r="S100" s="90"/>
    </row>
    <row r="101" customFormat="false" ht="15" hidden="false" customHeight="false" outlineLevel="0" collapsed="false">
      <c r="S101" s="90"/>
    </row>
    <row r="102" customFormat="false" ht="15" hidden="false" customHeight="false" outlineLevel="0" collapsed="false">
      <c r="S102" s="90"/>
    </row>
    <row r="103" customFormat="false" ht="15" hidden="false" customHeight="false" outlineLevel="0" collapsed="false">
      <c r="S103" s="90"/>
    </row>
    <row r="104" customFormat="false" ht="15" hidden="false" customHeight="false" outlineLevel="0" collapsed="false">
      <c r="S104" s="90"/>
    </row>
    <row r="105" customFormat="false" ht="15" hidden="false" customHeight="false" outlineLevel="0" collapsed="false">
      <c r="S105" s="90"/>
    </row>
  </sheetData>
  <conditionalFormatting sqref="N2:S6">
    <cfRule type="expression" priority="2" aboveAverage="0" equalAverage="0" bottom="0" percent="0" rank="0" text="" dxfId="71">
      <formula>$N2="agent"</formula>
    </cfRule>
  </conditionalFormatting>
  <conditionalFormatting sqref="O7:S47 N48:S105">
    <cfRule type="expression" priority="3" aboveAverage="0" equalAverage="0" bottom="0" percent="0" rank="0" text="" dxfId="72">
      <formula>$N7="agent"</formula>
    </cfRule>
  </conditionalFormatting>
  <conditionalFormatting sqref="S2">
    <cfRule type="expression" priority="4" aboveAverage="0" equalAverage="0" bottom="0" percent="0" rank="0" text="" dxfId="73">
      <formula>$N3="agent"</formula>
    </cfRule>
  </conditionalFormatting>
  <conditionalFormatting sqref="A1:S1 T1:XFD3">
    <cfRule type="expression" priority="5" aboveAverage="0" equalAverage="0" bottom="0" percent="0" rank="0" text="" dxfId="74">
      <formula>$N1="agent"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51" activePane="bottomLeft" state="frozen"/>
      <selection pane="topLeft" activeCell="A1" activeCellId="0" sqref="A1"/>
      <selection pane="bottomLeft" activeCell="R55" activeCellId="0" sqref="R55"/>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9.43"/>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86"/>
    <col collapsed="false" customWidth="true" hidden="false" outlineLevel="0" max="19" min="19" style="109" width="18.14"/>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n">
        <f aca="false">COUNTIF(C7:C101,"y")/(COUNTIF(C7:C101,"y")+COUNTIF(C7:C101,"n"))</f>
        <v>0.411764705882353</v>
      </c>
      <c r="D2" s="86" t="n">
        <f aca="false">COUNTIF(D7:D101,"y")/(COUNTIF(D7:D101,"y")+COUNTIF(D7:D101,"n"))</f>
        <v>0.8</v>
      </c>
      <c r="E2" s="86"/>
      <c r="F2" s="86" t="n">
        <f aca="false">COUNTIF(F7:F101,"y")/(COUNTIF(F7:F101,"y")+COUNTIF(F7:F101,"n"))</f>
        <v>0.958333333333333</v>
      </c>
      <c r="G2" s="86" t="n">
        <f aca="false">COUNTIF(G7:G101,"y")/(COUNTIF(G7:G101,"y")+COUNTIF(G7:G101,"n"))</f>
        <v>1</v>
      </c>
      <c r="H2" s="86"/>
      <c r="I2" s="86" t="n">
        <f aca="false">COUNTIF(I7:I101,"y")/(COUNTIF(I7:I101,"y")+COUNTIF(I7:I101,"n"))</f>
        <v>0.68</v>
      </c>
      <c r="J2" s="86"/>
      <c r="K2" s="86" t="n">
        <f aca="false">COUNTIF(K7:K101,"1")</f>
        <v>0</v>
      </c>
      <c r="L2" s="86" t="n">
        <f aca="false">COUNTIF(L7:L101,"y")/(COUNTIF(L7:L101,"y")+COUNTIF(L7:L101,"n"))</f>
        <v>0.875</v>
      </c>
      <c r="M2" s="86"/>
      <c r="O2" s="87" t="n">
        <f aca="false" t="array" ref="O2:O2">LOOKUP(2,1/(O:O&lt;&gt;""),O:O)</f>
        <v>49</v>
      </c>
      <c r="R2" s="83" t="n">
        <f aca="false">COUNTIF(R7:R100,"strategy")/2</f>
        <v>7</v>
      </c>
      <c r="S2" s="88" t="n">
        <f aca="false" t="array" ref="S2:S2">LOOKUP(2,1/(S:S&lt;&gt;""),S:S)-S7</f>
        <v>11.3627687499975</v>
      </c>
      <c r="T2" s="85"/>
    </row>
    <row r="3" s="83" customFormat="true" ht="15" hidden="false" customHeight="false" outlineLevel="0" collapsed="false">
      <c r="B3" s="89"/>
      <c r="C3" s="89"/>
      <c r="D3" s="89"/>
      <c r="E3" s="89"/>
      <c r="F3" s="89"/>
      <c r="G3" s="89"/>
      <c r="H3" s="89"/>
      <c r="I3" s="89"/>
      <c r="J3" s="89"/>
      <c r="K3" s="86" t="n">
        <f aca="false">COUNTIF(K7:K101,"2")</f>
        <v>0</v>
      </c>
      <c r="L3" s="89"/>
      <c r="M3" s="89"/>
      <c r="R3" s="83" t="n">
        <f aca="false">COUNTIF(R7:R100,"frequency")/2</f>
        <v>14</v>
      </c>
      <c r="T3" s="85"/>
    </row>
    <row r="4" s="83" customFormat="true" ht="15" hidden="false" customHeight="false" outlineLevel="0" collapsed="false">
      <c r="B4" s="89"/>
      <c r="C4" s="89"/>
      <c r="D4" s="89"/>
      <c r="E4" s="89"/>
      <c r="F4" s="89"/>
      <c r="G4" s="89"/>
      <c r="H4" s="89"/>
      <c r="I4" s="89"/>
      <c r="J4" s="89"/>
      <c r="K4" s="86" t="n">
        <f aca="false">COUNTIF(K7:K101,"3")</f>
        <v>24</v>
      </c>
      <c r="L4" s="89"/>
      <c r="M4" s="89"/>
      <c r="R4" s="83" t="n">
        <f aca="false">CEILING(COUNTIF(R7:R100,"complete")/2,1)</f>
        <v>3</v>
      </c>
      <c r="S4" s="105" t="n">
        <f aca="false">(S23-S10)+(S55-S24)</f>
        <v>0.036996643517341</v>
      </c>
      <c r="T4" s="85"/>
    </row>
    <row r="5" s="83" customFormat="true" ht="15" hidden="false" customHeight="false" outlineLevel="0" collapsed="false">
      <c r="B5" s="89"/>
      <c r="C5" s="89"/>
      <c r="D5" s="89"/>
      <c r="E5" s="89"/>
      <c r="F5" s="89"/>
      <c r="G5" s="89"/>
      <c r="H5" s="89"/>
      <c r="I5" s="89"/>
      <c r="J5" s="89"/>
      <c r="K5" s="86" t="n">
        <f aca="false">COUNTIF(K7:K101,"4")</f>
        <v>0</v>
      </c>
      <c r="L5" s="89"/>
      <c r="M5" s="89"/>
      <c r="T5" s="85"/>
    </row>
    <row r="6" s="92" customFormat="true" ht="15" hidden="false" customHeight="false" outlineLevel="0" collapsed="false">
      <c r="B6" s="93"/>
      <c r="C6" s="93"/>
      <c r="D6" s="93"/>
      <c r="E6" s="93"/>
      <c r="F6" s="93"/>
      <c r="G6" s="93"/>
      <c r="H6" s="93"/>
      <c r="I6" s="93"/>
      <c r="J6" s="93"/>
      <c r="K6" s="94" t="n">
        <f aca="false">COUNTIF(K7:K101,"5")</f>
        <v>0</v>
      </c>
      <c r="L6" s="93"/>
      <c r="M6" s="93"/>
      <c r="T6" s="95"/>
    </row>
    <row r="7" s="96" customFormat="true" ht="51.1" hidden="false" customHeight="false" outlineLevel="0" collapsed="false">
      <c r="B7" s="97"/>
      <c r="D7" s="96" t="s">
        <v>520</v>
      </c>
      <c r="E7" s="97"/>
      <c r="I7" s="96" t="s">
        <v>520</v>
      </c>
      <c r="J7" s="97"/>
      <c r="L7" s="97" t="s">
        <v>525</v>
      </c>
      <c r="M7" s="97"/>
      <c r="N7" s="111" t="s">
        <v>522</v>
      </c>
      <c r="O7" s="96" t="n">
        <v>1</v>
      </c>
      <c r="R7" s="96" t="s">
        <v>523</v>
      </c>
      <c r="S7" s="98" t="n">
        <v>45581.3432497685</v>
      </c>
      <c r="T7" s="112" t="s">
        <v>921</v>
      </c>
    </row>
    <row r="8" customFormat="false" ht="15" hidden="false" customHeight="false" outlineLevel="0" collapsed="false">
      <c r="F8" s="81" t="s">
        <v>520</v>
      </c>
      <c r="K8" s="81" t="n">
        <v>3</v>
      </c>
      <c r="N8" s="113" t="s">
        <v>526</v>
      </c>
      <c r="O8" s="81" t="n">
        <v>2</v>
      </c>
      <c r="R8" s="81" t="s">
        <v>523</v>
      </c>
      <c r="S8" s="90" t="n">
        <v>45581.3852708565</v>
      </c>
      <c r="T8" s="54" t="s">
        <v>56</v>
      </c>
    </row>
    <row r="9" customFormat="false" ht="76.1" hidden="false" customHeight="false" outlineLevel="0" collapsed="false">
      <c r="D9" s="81" t="s">
        <v>520</v>
      </c>
      <c r="I9" s="81" t="s">
        <v>520</v>
      </c>
      <c r="L9" s="82" t="s">
        <v>520</v>
      </c>
      <c r="N9" s="120" t="s">
        <v>522</v>
      </c>
      <c r="O9" s="81" t="n">
        <v>3</v>
      </c>
      <c r="P9" s="81" t="n">
        <v>6</v>
      </c>
      <c r="R9" s="81" t="s">
        <v>389</v>
      </c>
      <c r="S9" s="90" t="n">
        <v>45581.3852708565</v>
      </c>
      <c r="T9" s="121" t="s">
        <v>922</v>
      </c>
    </row>
    <row r="10" customFormat="false" ht="124.5" hidden="false" customHeight="true" outlineLevel="0" collapsed="false">
      <c r="B10" s="82" t="s">
        <v>923</v>
      </c>
      <c r="C10" s="81" t="s">
        <v>520</v>
      </c>
      <c r="F10" s="81" t="s">
        <v>520</v>
      </c>
      <c r="K10" s="81" t="n">
        <v>3</v>
      </c>
      <c r="N10" s="113" t="s">
        <v>526</v>
      </c>
      <c r="O10" s="81" t="n">
        <v>4</v>
      </c>
      <c r="P10" s="81" t="n">
        <v>6</v>
      </c>
      <c r="R10" s="81" t="s">
        <v>389</v>
      </c>
      <c r="S10" s="90" t="n">
        <v>45581.3902520139</v>
      </c>
      <c r="T10" s="54" t="s">
        <v>59</v>
      </c>
    </row>
    <row r="11" customFormat="false" ht="88.6" hidden="false" customHeight="false" outlineLevel="0" collapsed="false">
      <c r="C11" s="81" t="s">
        <v>530</v>
      </c>
      <c r="D11" s="81" t="s">
        <v>520</v>
      </c>
      <c r="I11" s="81" t="s">
        <v>520</v>
      </c>
      <c r="L11" s="82" t="s">
        <v>520</v>
      </c>
      <c r="N11" s="111" t="s">
        <v>522</v>
      </c>
      <c r="O11" s="81" t="n">
        <v>5</v>
      </c>
      <c r="P11" s="81" t="n">
        <v>6</v>
      </c>
      <c r="Q11" s="81" t="s">
        <v>409</v>
      </c>
      <c r="R11" s="81" t="s">
        <v>534</v>
      </c>
      <c r="S11" s="90" t="n">
        <v>45581.3902520139</v>
      </c>
      <c r="T11" s="112" t="s">
        <v>924</v>
      </c>
    </row>
    <row r="12" customFormat="false" ht="15" hidden="false" customHeight="false" outlineLevel="0" collapsed="false">
      <c r="F12" s="81" t="s">
        <v>520</v>
      </c>
      <c r="K12" s="81" t="n">
        <v>3</v>
      </c>
      <c r="N12" s="113" t="s">
        <v>526</v>
      </c>
      <c r="O12" s="81" t="n">
        <v>6</v>
      </c>
      <c r="P12" s="81" t="n">
        <v>6</v>
      </c>
      <c r="Q12" s="81" t="s">
        <v>409</v>
      </c>
      <c r="R12" s="81" t="s">
        <v>534</v>
      </c>
      <c r="S12" s="90" t="n">
        <v>45581.3928253588</v>
      </c>
      <c r="T12" s="54" t="n">
        <v>3</v>
      </c>
    </row>
    <row r="13" customFormat="false" ht="63.6" hidden="false" customHeight="false" outlineLevel="0" collapsed="false">
      <c r="D13" s="81" t="s">
        <v>520</v>
      </c>
      <c r="I13" s="81" t="s">
        <v>520</v>
      </c>
      <c r="L13" s="82" t="s">
        <v>520</v>
      </c>
      <c r="N13" s="120" t="s">
        <v>522</v>
      </c>
      <c r="O13" s="81" t="n">
        <v>7</v>
      </c>
      <c r="P13" s="81" t="n">
        <v>4</v>
      </c>
      <c r="Q13" s="81" t="s">
        <v>409</v>
      </c>
      <c r="R13" s="81" t="s">
        <v>389</v>
      </c>
      <c r="S13" s="90" t="n">
        <v>45581.3928253588</v>
      </c>
      <c r="T13" s="121" t="s">
        <v>925</v>
      </c>
    </row>
    <row r="14" customFormat="false" ht="26.1" hidden="false" customHeight="false" outlineLevel="0" collapsed="false">
      <c r="B14" s="82" t="s">
        <v>858</v>
      </c>
      <c r="C14" s="81" t="s">
        <v>530</v>
      </c>
      <c r="F14" s="81" t="s">
        <v>520</v>
      </c>
      <c r="K14" s="81" t="n">
        <v>3</v>
      </c>
      <c r="N14" s="113" t="s">
        <v>526</v>
      </c>
      <c r="O14" s="81" t="n">
        <v>8</v>
      </c>
      <c r="P14" s="81" t="n">
        <v>4</v>
      </c>
      <c r="Q14" s="81" t="s">
        <v>409</v>
      </c>
      <c r="R14" s="81" t="s">
        <v>389</v>
      </c>
      <c r="S14" s="90" t="n">
        <v>45581.3978142245</v>
      </c>
      <c r="T14" s="54" t="s">
        <v>60</v>
      </c>
    </row>
    <row r="15" customFormat="false" ht="63.6" hidden="false" customHeight="false" outlineLevel="0" collapsed="false">
      <c r="C15" s="81" t="s">
        <v>520</v>
      </c>
      <c r="D15" s="81" t="s">
        <v>520</v>
      </c>
      <c r="I15" s="81" t="s">
        <v>520</v>
      </c>
      <c r="L15" s="82" t="s">
        <v>520</v>
      </c>
      <c r="N15" s="111" t="s">
        <v>522</v>
      </c>
      <c r="O15" s="81" t="n">
        <v>9</v>
      </c>
      <c r="P15" s="81" t="n">
        <v>4</v>
      </c>
      <c r="Q15" s="81" t="s">
        <v>408</v>
      </c>
      <c r="R15" s="81" t="s">
        <v>534</v>
      </c>
      <c r="S15" s="90" t="n">
        <v>45581.3978142245</v>
      </c>
      <c r="T15" s="112" t="s">
        <v>926</v>
      </c>
    </row>
    <row r="16" customFormat="false" ht="15" hidden="false" customHeight="false" outlineLevel="0" collapsed="false">
      <c r="C16" s="81" t="s">
        <v>530</v>
      </c>
      <c r="F16" s="81" t="s">
        <v>520</v>
      </c>
      <c r="K16" s="81" t="n">
        <v>3</v>
      </c>
      <c r="N16" s="113" t="s">
        <v>526</v>
      </c>
      <c r="O16" s="81" t="n">
        <v>10</v>
      </c>
      <c r="P16" s="81" t="n">
        <v>4</v>
      </c>
      <c r="Q16" s="81" t="s">
        <v>408</v>
      </c>
      <c r="R16" s="81" t="s">
        <v>534</v>
      </c>
      <c r="S16" s="90" t="n">
        <v>45581.3992910301</v>
      </c>
      <c r="T16" s="54" t="n">
        <v>4</v>
      </c>
    </row>
    <row r="17" customFormat="false" ht="15" hidden="false" customHeight="false" outlineLevel="0" collapsed="false">
      <c r="D17" s="81" t="s">
        <v>530</v>
      </c>
      <c r="I17" s="81" t="s">
        <v>520</v>
      </c>
      <c r="L17" s="82" t="s">
        <v>520</v>
      </c>
      <c r="N17" s="120" t="s">
        <v>522</v>
      </c>
      <c r="O17" s="81" t="n">
        <v>11</v>
      </c>
      <c r="P17" s="81" t="n">
        <v>4</v>
      </c>
      <c r="Q17" s="81" t="s">
        <v>408</v>
      </c>
      <c r="R17" s="81" t="s">
        <v>534</v>
      </c>
      <c r="S17" s="90" t="n">
        <v>45581.3992910301</v>
      </c>
      <c r="T17" s="121" t="s">
        <v>927</v>
      </c>
    </row>
    <row r="18" customFormat="false" ht="15" hidden="false" customHeight="false" outlineLevel="0" collapsed="false">
      <c r="F18" s="81" t="s">
        <v>520</v>
      </c>
      <c r="K18" s="81" t="n">
        <v>3</v>
      </c>
      <c r="N18" s="113" t="s">
        <v>526</v>
      </c>
      <c r="O18" s="81" t="n">
        <v>12</v>
      </c>
      <c r="P18" s="81" t="n">
        <v>4</v>
      </c>
      <c r="Q18" s="81" t="s">
        <v>408</v>
      </c>
      <c r="R18" s="81" t="s">
        <v>534</v>
      </c>
      <c r="S18" s="90" t="n">
        <v>45581.4067369097</v>
      </c>
      <c r="T18" s="54" t="n">
        <v>4</v>
      </c>
    </row>
    <row r="19" customFormat="false" ht="63.6" hidden="false" customHeight="false" outlineLevel="0" collapsed="false">
      <c r="D19" s="81" t="s">
        <v>520</v>
      </c>
      <c r="I19" s="81" t="s">
        <v>530</v>
      </c>
      <c r="J19" s="106" t="s">
        <v>532</v>
      </c>
      <c r="L19" s="82" t="s">
        <v>520</v>
      </c>
      <c r="N19" s="111" t="s">
        <v>522</v>
      </c>
      <c r="O19" s="81" t="n">
        <v>13</v>
      </c>
      <c r="P19" s="81" t="n">
        <v>4</v>
      </c>
      <c r="Q19" s="81" t="s">
        <v>407</v>
      </c>
      <c r="R19" s="81" t="s">
        <v>534</v>
      </c>
      <c r="S19" s="90" t="n">
        <v>45581.4067369097</v>
      </c>
      <c r="T19" s="112" t="s">
        <v>928</v>
      </c>
    </row>
    <row r="20" customFormat="false" ht="15" hidden="false" customHeight="false" outlineLevel="0" collapsed="false">
      <c r="F20" s="81" t="s">
        <v>520</v>
      </c>
      <c r="K20" s="81" t="n">
        <v>3</v>
      </c>
      <c r="N20" s="113" t="s">
        <v>526</v>
      </c>
      <c r="O20" s="81" t="n">
        <v>14</v>
      </c>
      <c r="P20" s="81" t="n">
        <v>4</v>
      </c>
      <c r="Q20" s="81" t="s">
        <v>407</v>
      </c>
      <c r="R20" s="81" t="s">
        <v>534</v>
      </c>
      <c r="S20" s="90" t="n">
        <v>45581.4073790394</v>
      </c>
      <c r="T20" s="54" t="n">
        <v>3</v>
      </c>
    </row>
    <row r="21" customFormat="false" ht="63.6" hidden="false" customHeight="false" outlineLevel="0" collapsed="false">
      <c r="D21" s="81" t="s">
        <v>520</v>
      </c>
      <c r="I21" s="81" t="s">
        <v>520</v>
      </c>
      <c r="L21" s="82" t="s">
        <v>520</v>
      </c>
      <c r="N21" s="120" t="s">
        <v>522</v>
      </c>
      <c r="O21" s="81" t="n">
        <v>15</v>
      </c>
      <c r="P21" s="81" t="n">
        <v>3</v>
      </c>
      <c r="Q21" s="81" t="s">
        <v>407</v>
      </c>
      <c r="R21" s="81" t="s">
        <v>389</v>
      </c>
      <c r="S21" s="90" t="n">
        <v>45581.4073790394</v>
      </c>
      <c r="T21" s="121" t="s">
        <v>929</v>
      </c>
    </row>
    <row r="22" customFormat="false" ht="15" hidden="false" customHeight="false" outlineLevel="0" collapsed="false">
      <c r="F22" s="81" t="s">
        <v>530</v>
      </c>
      <c r="K22" s="81" t="n">
        <v>3</v>
      </c>
      <c r="N22" s="113" t="s">
        <v>526</v>
      </c>
      <c r="O22" s="81" t="n">
        <v>16</v>
      </c>
      <c r="P22" s="81" t="n">
        <v>3</v>
      </c>
      <c r="Q22" s="81" t="s">
        <v>407</v>
      </c>
      <c r="R22" s="81" t="s">
        <v>389</v>
      </c>
      <c r="S22" s="90" t="n">
        <v>45581.4091009491</v>
      </c>
      <c r="T22" s="54" t="s">
        <v>61</v>
      </c>
    </row>
    <row r="23" customFormat="false" ht="26.1" hidden="false" customHeight="false" outlineLevel="0" collapsed="false">
      <c r="D23" s="81" t="s">
        <v>520</v>
      </c>
      <c r="G23" s="81" t="s">
        <v>520</v>
      </c>
      <c r="I23" s="81" t="s">
        <v>520</v>
      </c>
      <c r="L23" s="82" t="s">
        <v>520</v>
      </c>
      <c r="N23" s="111" t="s">
        <v>522</v>
      </c>
      <c r="O23" s="81" t="n">
        <v>17</v>
      </c>
      <c r="P23" s="81" t="n">
        <v>3</v>
      </c>
      <c r="Q23" s="81" t="s">
        <v>407</v>
      </c>
      <c r="R23" s="81" t="s">
        <v>389</v>
      </c>
      <c r="S23" s="90" t="n">
        <v>45581.4091009491</v>
      </c>
      <c r="T23" s="112" t="s">
        <v>930</v>
      </c>
    </row>
    <row r="24" customFormat="false" ht="51.1" hidden="false" customHeight="false" outlineLevel="0" collapsed="false">
      <c r="B24" s="82" t="s">
        <v>931</v>
      </c>
      <c r="C24" s="81" t="s">
        <v>520</v>
      </c>
      <c r="F24" s="81" t="s">
        <v>520</v>
      </c>
      <c r="K24" s="81" t="n">
        <v>3</v>
      </c>
      <c r="N24" s="113" t="s">
        <v>526</v>
      </c>
      <c r="O24" s="81" t="n">
        <v>18</v>
      </c>
      <c r="P24" s="81" t="n">
        <v>3</v>
      </c>
      <c r="Q24" s="81" t="s">
        <v>407</v>
      </c>
      <c r="R24" s="81" t="s">
        <v>389</v>
      </c>
      <c r="S24" s="90" t="n">
        <v>45592.6878708102</v>
      </c>
      <c r="T24" s="54" t="s">
        <v>62</v>
      </c>
    </row>
    <row r="25" customFormat="false" ht="76.1" hidden="false" customHeight="false" outlineLevel="0" collapsed="false">
      <c r="C25" s="81" t="s">
        <v>530</v>
      </c>
      <c r="D25" s="81" t="s">
        <v>520</v>
      </c>
      <c r="I25" s="81" t="s">
        <v>530</v>
      </c>
      <c r="J25" s="106" t="s">
        <v>532</v>
      </c>
      <c r="L25" s="82" t="s">
        <v>520</v>
      </c>
      <c r="N25" s="120" t="s">
        <v>522</v>
      </c>
      <c r="O25" s="81" t="n">
        <v>19</v>
      </c>
      <c r="P25" s="81" t="n">
        <v>3</v>
      </c>
      <c r="Q25" s="81" t="s">
        <v>398</v>
      </c>
      <c r="R25" s="81" t="s">
        <v>534</v>
      </c>
      <c r="S25" s="90" t="n">
        <v>45592.6878708102</v>
      </c>
      <c r="T25" s="121" t="s">
        <v>932</v>
      </c>
    </row>
    <row r="26" customFormat="false" ht="15" hidden="false" customHeight="false" outlineLevel="0" collapsed="false">
      <c r="C26" s="81" t="s">
        <v>530</v>
      </c>
      <c r="F26" s="81" t="s">
        <v>520</v>
      </c>
      <c r="K26" s="81" t="n">
        <v>3</v>
      </c>
      <c r="N26" s="113" t="s">
        <v>526</v>
      </c>
      <c r="O26" s="81" t="n">
        <v>20</v>
      </c>
      <c r="P26" s="81" t="n">
        <v>3</v>
      </c>
      <c r="Q26" s="81" t="s">
        <v>398</v>
      </c>
      <c r="R26" s="81" t="s">
        <v>534</v>
      </c>
      <c r="S26" s="90" t="n">
        <v>45592.688415544</v>
      </c>
      <c r="T26" s="54" t="n">
        <v>4</v>
      </c>
    </row>
    <row r="27" customFormat="false" ht="26.1" hidden="false" customHeight="false" outlineLevel="0" collapsed="false">
      <c r="C27" s="81" t="s">
        <v>530</v>
      </c>
      <c r="D27" s="81" t="s">
        <v>530</v>
      </c>
      <c r="I27" s="81" t="s">
        <v>520</v>
      </c>
      <c r="L27" s="82" t="s">
        <v>520</v>
      </c>
      <c r="N27" s="111" t="s">
        <v>522</v>
      </c>
      <c r="O27" s="81" t="n">
        <v>21</v>
      </c>
      <c r="P27" s="81" t="n">
        <v>3</v>
      </c>
      <c r="Q27" s="81" t="s">
        <v>398</v>
      </c>
      <c r="R27" s="81" t="s">
        <v>534</v>
      </c>
      <c r="S27" s="90" t="n">
        <v>45592.688415544</v>
      </c>
      <c r="T27" s="112" t="s">
        <v>933</v>
      </c>
    </row>
    <row r="28" customFormat="false" ht="15" hidden="false" customHeight="false" outlineLevel="0" collapsed="false">
      <c r="F28" s="81" t="s">
        <v>520</v>
      </c>
      <c r="K28" s="81" t="n">
        <v>3</v>
      </c>
      <c r="N28" s="113" t="s">
        <v>526</v>
      </c>
      <c r="O28" s="81" t="n">
        <v>22</v>
      </c>
      <c r="P28" s="81" t="n">
        <v>3</v>
      </c>
      <c r="Q28" s="81" t="s">
        <v>398</v>
      </c>
      <c r="R28" s="81" t="s">
        <v>534</v>
      </c>
      <c r="S28" s="90" t="n">
        <v>45592.6888713889</v>
      </c>
      <c r="T28" s="54" t="n">
        <v>4</v>
      </c>
    </row>
    <row r="29" customFormat="false" ht="101.1" hidden="false" customHeight="false" outlineLevel="0" collapsed="false">
      <c r="D29" s="81" t="s">
        <v>520</v>
      </c>
      <c r="I29" s="81" t="s">
        <v>530</v>
      </c>
      <c r="J29" s="106" t="s">
        <v>532</v>
      </c>
      <c r="L29" s="82" t="s">
        <v>520</v>
      </c>
      <c r="N29" s="120" t="s">
        <v>522</v>
      </c>
      <c r="O29" s="81" t="n">
        <v>23</v>
      </c>
      <c r="P29" s="81" t="n">
        <v>3</v>
      </c>
      <c r="Q29" s="81" t="s">
        <v>399</v>
      </c>
      <c r="R29" s="81" t="s">
        <v>534</v>
      </c>
      <c r="S29" s="90" t="n">
        <v>45592.6888713889</v>
      </c>
      <c r="T29" s="121" t="s">
        <v>934</v>
      </c>
    </row>
    <row r="30" customFormat="false" ht="15" hidden="false" customHeight="false" outlineLevel="0" collapsed="false">
      <c r="F30" s="81" t="s">
        <v>520</v>
      </c>
      <c r="K30" s="81" t="n">
        <v>3</v>
      </c>
      <c r="N30" s="113" t="s">
        <v>526</v>
      </c>
      <c r="O30" s="81" t="n">
        <v>24</v>
      </c>
      <c r="P30" s="81" t="n">
        <v>3</v>
      </c>
      <c r="Q30" s="81" t="s">
        <v>399</v>
      </c>
      <c r="R30" s="81" t="s">
        <v>534</v>
      </c>
      <c r="S30" s="90" t="n">
        <v>45592.6894507523</v>
      </c>
      <c r="T30" s="54" t="n">
        <v>4</v>
      </c>
    </row>
    <row r="31" customFormat="false" ht="51.1" hidden="false" customHeight="false" outlineLevel="0" collapsed="false">
      <c r="D31" s="81" t="s">
        <v>520</v>
      </c>
      <c r="I31" s="81" t="s">
        <v>520</v>
      </c>
      <c r="L31" s="82" t="s">
        <v>520</v>
      </c>
      <c r="N31" s="111" t="s">
        <v>522</v>
      </c>
      <c r="O31" s="81" t="n">
        <v>25</v>
      </c>
      <c r="P31" s="81" t="n">
        <v>1</v>
      </c>
      <c r="Q31" s="81" t="s">
        <v>399</v>
      </c>
      <c r="R31" s="81" t="s">
        <v>389</v>
      </c>
      <c r="S31" s="90" t="n">
        <v>45592.6894507523</v>
      </c>
      <c r="T31" s="112" t="s">
        <v>935</v>
      </c>
    </row>
    <row r="32" customFormat="false" ht="26.1" hidden="false" customHeight="false" outlineLevel="0" collapsed="false">
      <c r="B32" s="82" t="s">
        <v>936</v>
      </c>
      <c r="C32" s="81" t="s">
        <v>520</v>
      </c>
      <c r="F32" s="81" t="s">
        <v>520</v>
      </c>
      <c r="K32" s="81" t="n">
        <v>3</v>
      </c>
      <c r="N32" s="113" t="s">
        <v>526</v>
      </c>
      <c r="O32" s="81" t="n">
        <v>26</v>
      </c>
      <c r="P32" s="81" t="n">
        <v>1</v>
      </c>
      <c r="Q32" s="81" t="s">
        <v>399</v>
      </c>
      <c r="R32" s="81" t="s">
        <v>389</v>
      </c>
      <c r="S32" s="90" t="n">
        <v>45592.6913790278</v>
      </c>
      <c r="T32" s="54" t="s">
        <v>63</v>
      </c>
    </row>
    <row r="33" customFormat="false" ht="63.6" hidden="false" customHeight="false" outlineLevel="0" collapsed="false">
      <c r="C33" s="81" t="s">
        <v>530</v>
      </c>
      <c r="D33" s="81" t="s">
        <v>530</v>
      </c>
      <c r="E33" s="82" t="s">
        <v>937</v>
      </c>
      <c r="I33" s="81" t="s">
        <v>530</v>
      </c>
      <c r="J33" s="106" t="s">
        <v>532</v>
      </c>
      <c r="L33" s="82" t="s">
        <v>530</v>
      </c>
      <c r="N33" s="120" t="s">
        <v>522</v>
      </c>
      <c r="O33" s="81" t="n">
        <v>27</v>
      </c>
      <c r="P33" s="81" t="n">
        <v>1</v>
      </c>
      <c r="Q33" s="81" t="s">
        <v>398</v>
      </c>
      <c r="R33" s="81" t="s">
        <v>534</v>
      </c>
      <c r="S33" s="90" t="n">
        <v>45592.6913790278</v>
      </c>
      <c r="T33" s="121" t="s">
        <v>938</v>
      </c>
    </row>
    <row r="34" customFormat="false" ht="15" hidden="false" customHeight="false" outlineLevel="0" collapsed="false">
      <c r="C34" s="81" t="s">
        <v>530</v>
      </c>
      <c r="F34" s="81" t="s">
        <v>520</v>
      </c>
      <c r="K34" s="81" t="n">
        <v>3</v>
      </c>
      <c r="N34" s="113" t="s">
        <v>526</v>
      </c>
      <c r="O34" s="81" t="n">
        <v>28</v>
      </c>
      <c r="P34" s="81" t="n">
        <v>1</v>
      </c>
      <c r="Q34" s="81" t="s">
        <v>398</v>
      </c>
      <c r="R34" s="81" t="s">
        <v>534</v>
      </c>
      <c r="S34" s="90" t="n">
        <v>45592.691930162</v>
      </c>
      <c r="T34" s="54" t="n">
        <v>3</v>
      </c>
    </row>
    <row r="35" customFormat="false" ht="51.1" hidden="false" customHeight="false" outlineLevel="0" collapsed="false">
      <c r="D35" s="81" t="s">
        <v>530</v>
      </c>
      <c r="E35" s="106" t="s">
        <v>937</v>
      </c>
      <c r="I35" s="81" t="s">
        <v>520</v>
      </c>
      <c r="L35" s="82" t="s">
        <v>520</v>
      </c>
      <c r="N35" s="111" t="s">
        <v>522</v>
      </c>
      <c r="O35" s="81" t="n">
        <v>29</v>
      </c>
      <c r="P35" s="81" t="n">
        <v>1</v>
      </c>
      <c r="Q35" s="81" t="s">
        <v>399</v>
      </c>
      <c r="R35" s="81" t="s">
        <v>534</v>
      </c>
      <c r="S35" s="90" t="n">
        <v>45592.691930162</v>
      </c>
      <c r="T35" s="112" t="s">
        <v>939</v>
      </c>
    </row>
    <row r="36" customFormat="false" ht="15" hidden="false" customHeight="false" outlineLevel="0" collapsed="false">
      <c r="F36" s="81" t="s">
        <v>520</v>
      </c>
      <c r="K36" s="81" t="n">
        <v>3</v>
      </c>
      <c r="N36" s="113" t="s">
        <v>526</v>
      </c>
      <c r="O36" s="81" t="n">
        <v>30</v>
      </c>
      <c r="P36" s="81" t="n">
        <v>1</v>
      </c>
      <c r="Q36" s="81" t="s">
        <v>399</v>
      </c>
      <c r="R36" s="81" t="s">
        <v>534</v>
      </c>
      <c r="S36" s="90" t="n">
        <v>45592.6923544213</v>
      </c>
      <c r="T36" s="54" t="n">
        <v>3</v>
      </c>
    </row>
    <row r="37" customFormat="false" ht="63.6" hidden="false" customHeight="false" outlineLevel="0" collapsed="false">
      <c r="D37" s="81" t="s">
        <v>520</v>
      </c>
      <c r="I37" s="81" t="s">
        <v>520</v>
      </c>
      <c r="L37" s="82" t="s">
        <v>520</v>
      </c>
      <c r="N37" s="120" t="s">
        <v>522</v>
      </c>
      <c r="O37" s="81" t="n">
        <v>31</v>
      </c>
      <c r="P37" s="81" t="n">
        <v>5</v>
      </c>
      <c r="Q37" s="81" t="s">
        <v>399</v>
      </c>
      <c r="R37" s="81" t="s">
        <v>389</v>
      </c>
      <c r="S37" s="90" t="n">
        <v>45592.6923544213</v>
      </c>
      <c r="T37" s="121" t="s">
        <v>940</v>
      </c>
    </row>
    <row r="38" customFormat="false" ht="26.1" hidden="false" customHeight="false" outlineLevel="0" collapsed="false">
      <c r="B38" s="82" t="s">
        <v>941</v>
      </c>
      <c r="C38" s="81" t="s">
        <v>530</v>
      </c>
      <c r="F38" s="81" t="s">
        <v>520</v>
      </c>
      <c r="K38" s="81" t="n">
        <v>3</v>
      </c>
      <c r="N38" s="113" t="s">
        <v>526</v>
      </c>
      <c r="O38" s="81" t="n">
        <v>32</v>
      </c>
      <c r="P38" s="81" t="n">
        <v>5</v>
      </c>
      <c r="Q38" s="81" t="s">
        <v>399</v>
      </c>
      <c r="R38" s="81" t="s">
        <v>389</v>
      </c>
      <c r="S38" s="90" t="n">
        <v>45592.6939654051</v>
      </c>
      <c r="T38" s="54" t="s">
        <v>65</v>
      </c>
    </row>
    <row r="39" customFormat="false" ht="63.6" hidden="false" customHeight="false" outlineLevel="0" collapsed="false">
      <c r="C39" s="81" t="s">
        <v>520</v>
      </c>
      <c r="D39" s="81" t="s">
        <v>520</v>
      </c>
      <c r="I39" s="81" t="s">
        <v>530</v>
      </c>
      <c r="J39" s="106" t="s">
        <v>532</v>
      </c>
      <c r="L39" s="82" t="s">
        <v>530</v>
      </c>
      <c r="N39" s="111" t="s">
        <v>522</v>
      </c>
      <c r="O39" s="81" t="n">
        <v>33</v>
      </c>
      <c r="P39" s="81" t="n">
        <v>5</v>
      </c>
      <c r="Q39" s="81" t="s">
        <v>393</v>
      </c>
      <c r="R39" s="81" t="s">
        <v>534</v>
      </c>
      <c r="S39" s="90" t="n">
        <v>45592.6939654051</v>
      </c>
      <c r="T39" s="112" t="s">
        <v>942</v>
      </c>
    </row>
    <row r="40" customFormat="false" ht="15" hidden="false" customHeight="false" outlineLevel="0" collapsed="false">
      <c r="C40" s="81" t="s">
        <v>530</v>
      </c>
      <c r="F40" s="81" t="s">
        <v>520</v>
      </c>
      <c r="K40" s="81" t="n">
        <v>3</v>
      </c>
      <c r="N40" s="113" t="s">
        <v>526</v>
      </c>
      <c r="O40" s="81" t="n">
        <v>34</v>
      </c>
      <c r="P40" s="81" t="n">
        <v>5</v>
      </c>
      <c r="Q40" s="81" t="s">
        <v>393</v>
      </c>
      <c r="R40" s="81" t="s">
        <v>534</v>
      </c>
      <c r="S40" s="90" t="n">
        <v>45592.694461331</v>
      </c>
      <c r="T40" s="54" t="n">
        <v>4</v>
      </c>
    </row>
    <row r="41" customFormat="false" ht="63.6" hidden="false" customHeight="false" outlineLevel="0" collapsed="false">
      <c r="D41" s="81" t="s">
        <v>520</v>
      </c>
      <c r="I41" s="81" t="s">
        <v>530</v>
      </c>
      <c r="J41" s="106" t="s">
        <v>532</v>
      </c>
      <c r="L41" s="82" t="s">
        <v>520</v>
      </c>
      <c r="N41" s="120" t="s">
        <v>522</v>
      </c>
      <c r="O41" s="81" t="n">
        <v>35</v>
      </c>
      <c r="P41" s="81" t="n">
        <v>5</v>
      </c>
      <c r="Q41" s="81" t="s">
        <v>401</v>
      </c>
      <c r="R41" s="81" t="s">
        <v>534</v>
      </c>
      <c r="S41" s="90" t="n">
        <v>45592.694461331</v>
      </c>
      <c r="T41" s="121" t="s">
        <v>943</v>
      </c>
    </row>
    <row r="42" customFormat="false" ht="15" hidden="false" customHeight="false" outlineLevel="0" collapsed="false">
      <c r="F42" s="81" t="s">
        <v>520</v>
      </c>
      <c r="K42" s="81" t="n">
        <v>3</v>
      </c>
      <c r="N42" s="113" t="s">
        <v>526</v>
      </c>
      <c r="O42" s="81" t="n">
        <v>36</v>
      </c>
      <c r="P42" s="81" t="n">
        <v>5</v>
      </c>
      <c r="Q42" s="81" t="s">
        <v>401</v>
      </c>
      <c r="R42" s="81" t="s">
        <v>534</v>
      </c>
      <c r="S42" s="90" t="n">
        <v>45592.6953880787</v>
      </c>
      <c r="T42" s="54" t="n">
        <v>2</v>
      </c>
    </row>
    <row r="43" customFormat="false" ht="88.6" hidden="false" customHeight="false" outlineLevel="0" collapsed="false">
      <c r="D43" s="81" t="s">
        <v>520</v>
      </c>
      <c r="I43" s="81" t="s">
        <v>520</v>
      </c>
      <c r="L43" s="82" t="s">
        <v>520</v>
      </c>
      <c r="N43" s="111" t="s">
        <v>522</v>
      </c>
      <c r="O43" s="81" t="n">
        <v>37</v>
      </c>
      <c r="P43" s="81" t="n">
        <v>5</v>
      </c>
      <c r="Q43" s="81" t="s">
        <v>402</v>
      </c>
      <c r="R43" s="81" t="s">
        <v>534</v>
      </c>
      <c r="S43" s="90" t="n">
        <v>45592.6953880787</v>
      </c>
      <c r="T43" s="112" t="s">
        <v>944</v>
      </c>
    </row>
    <row r="44" customFormat="false" ht="15" hidden="false" customHeight="false" outlineLevel="0" collapsed="false">
      <c r="F44" s="81" t="s">
        <v>520</v>
      </c>
      <c r="K44" s="81" t="n">
        <v>3</v>
      </c>
      <c r="N44" s="113" t="s">
        <v>526</v>
      </c>
      <c r="O44" s="81" t="n">
        <v>38</v>
      </c>
      <c r="P44" s="81" t="n">
        <v>5</v>
      </c>
      <c r="Q44" s="81" t="s">
        <v>402</v>
      </c>
      <c r="R44" s="81" t="s">
        <v>534</v>
      </c>
      <c r="S44" s="90" t="n">
        <v>45592.6966237847</v>
      </c>
      <c r="T44" s="54" t="n">
        <v>2</v>
      </c>
    </row>
    <row r="45" customFormat="false" ht="51.1" hidden="false" customHeight="false" outlineLevel="0" collapsed="false">
      <c r="D45" s="81" t="s">
        <v>520</v>
      </c>
      <c r="I45" s="81" t="s">
        <v>520</v>
      </c>
      <c r="L45" s="82" t="s">
        <v>520</v>
      </c>
      <c r="N45" s="120" t="s">
        <v>522</v>
      </c>
      <c r="O45" s="81" t="n">
        <v>39</v>
      </c>
      <c r="P45" s="81" t="n">
        <v>2</v>
      </c>
      <c r="Q45" s="81" t="s">
        <v>402</v>
      </c>
      <c r="R45" s="81" t="s">
        <v>389</v>
      </c>
      <c r="S45" s="90" t="n">
        <v>45592.6966237847</v>
      </c>
      <c r="T45" s="121" t="s">
        <v>945</v>
      </c>
    </row>
    <row r="46" customFormat="false" ht="26.1" hidden="false" customHeight="false" outlineLevel="0" collapsed="false">
      <c r="B46" s="82" t="s">
        <v>789</v>
      </c>
      <c r="C46" s="81" t="s">
        <v>520</v>
      </c>
      <c r="F46" s="81" t="s">
        <v>520</v>
      </c>
      <c r="K46" s="81" t="n">
        <v>3</v>
      </c>
      <c r="N46" s="113" t="s">
        <v>526</v>
      </c>
      <c r="O46" s="81" t="n">
        <v>40</v>
      </c>
      <c r="P46" s="81" t="n">
        <v>2</v>
      </c>
      <c r="Q46" s="81" t="s">
        <v>402</v>
      </c>
      <c r="R46" s="81" t="s">
        <v>389</v>
      </c>
      <c r="S46" s="90" t="n">
        <v>45592.6994976157</v>
      </c>
      <c r="T46" s="54" t="s">
        <v>72</v>
      </c>
    </row>
    <row r="47" customFormat="false" ht="138.6" hidden="false" customHeight="false" outlineLevel="0" collapsed="false">
      <c r="C47" s="81" t="s">
        <v>520</v>
      </c>
      <c r="D47" s="81" t="s">
        <v>520</v>
      </c>
      <c r="I47" s="81" t="s">
        <v>520</v>
      </c>
      <c r="L47" s="82" t="s">
        <v>520</v>
      </c>
      <c r="N47" s="111" t="s">
        <v>522</v>
      </c>
      <c r="O47" s="81" t="n">
        <v>41</v>
      </c>
      <c r="P47" s="81" t="n">
        <v>2</v>
      </c>
      <c r="Q47" s="81" t="s">
        <v>396</v>
      </c>
      <c r="R47" s="81" t="s">
        <v>534</v>
      </c>
      <c r="S47" s="90" t="n">
        <v>45592.6994976157</v>
      </c>
      <c r="T47" s="112" t="s">
        <v>946</v>
      </c>
    </row>
    <row r="48" customFormat="false" ht="15" hidden="false" customHeight="false" outlineLevel="0" collapsed="false">
      <c r="F48" s="81" t="s">
        <v>520</v>
      </c>
      <c r="K48" s="81" t="n">
        <v>3</v>
      </c>
      <c r="N48" s="113" t="s">
        <v>526</v>
      </c>
      <c r="O48" s="81" t="n">
        <v>42</v>
      </c>
      <c r="P48" s="81" t="n">
        <v>2</v>
      </c>
      <c r="Q48" s="81" t="s">
        <v>396</v>
      </c>
      <c r="R48" s="81" t="s">
        <v>534</v>
      </c>
      <c r="S48" s="90" t="n">
        <v>45592.7004759028</v>
      </c>
      <c r="T48" s="54" t="n">
        <v>4</v>
      </c>
    </row>
    <row r="49" customFormat="false" ht="63.6" hidden="false" customHeight="false" outlineLevel="0" collapsed="false">
      <c r="D49" s="81" t="s">
        <v>520</v>
      </c>
      <c r="I49" s="81" t="s">
        <v>520</v>
      </c>
      <c r="L49" s="82" t="s">
        <v>520</v>
      </c>
      <c r="N49" s="120" t="s">
        <v>522</v>
      </c>
      <c r="O49" s="81" t="n">
        <v>43</v>
      </c>
      <c r="P49" s="81" t="n">
        <v>2</v>
      </c>
      <c r="Q49" s="81" t="s">
        <v>408</v>
      </c>
      <c r="R49" s="81" t="s">
        <v>534</v>
      </c>
      <c r="S49" s="90" t="n">
        <v>45592.7004759028</v>
      </c>
      <c r="T49" s="121" t="s">
        <v>947</v>
      </c>
    </row>
    <row r="50" customFormat="false" ht="15" hidden="false" customHeight="false" outlineLevel="0" collapsed="false">
      <c r="F50" s="81" t="s">
        <v>520</v>
      </c>
      <c r="K50" s="81" t="n">
        <v>3</v>
      </c>
      <c r="N50" s="113" t="s">
        <v>526</v>
      </c>
      <c r="O50" s="81" t="n">
        <v>44</v>
      </c>
      <c r="P50" s="81" t="n">
        <v>2</v>
      </c>
      <c r="Q50" s="81" t="s">
        <v>408</v>
      </c>
      <c r="R50" s="81" t="s">
        <v>534</v>
      </c>
      <c r="S50" s="90" t="n">
        <v>45592.7007740394</v>
      </c>
      <c r="T50" s="54" t="n">
        <v>4</v>
      </c>
    </row>
    <row r="51" customFormat="false" ht="188.6" hidden="false" customHeight="false" outlineLevel="0" collapsed="false">
      <c r="D51" s="81" t="s">
        <v>530</v>
      </c>
      <c r="E51" s="82" t="s">
        <v>948</v>
      </c>
      <c r="I51" s="81" t="s">
        <v>530</v>
      </c>
      <c r="J51" s="106" t="s">
        <v>532</v>
      </c>
      <c r="L51" s="82" t="s">
        <v>530</v>
      </c>
      <c r="N51" s="111" t="s">
        <v>522</v>
      </c>
      <c r="O51" s="81" t="n">
        <v>45</v>
      </c>
      <c r="Q51" s="81" t="s">
        <v>408</v>
      </c>
      <c r="R51" s="81" t="s">
        <v>585</v>
      </c>
      <c r="S51" s="90" t="n">
        <v>45592.7007740394</v>
      </c>
      <c r="T51" s="112" t="s">
        <v>949</v>
      </c>
    </row>
    <row r="52" customFormat="false" ht="26.1" hidden="false" customHeight="false" outlineLevel="0" collapsed="false">
      <c r="F52" s="81" t="s">
        <v>520</v>
      </c>
      <c r="K52" s="81" t="n">
        <v>3</v>
      </c>
      <c r="M52" s="82" t="s">
        <v>619</v>
      </c>
      <c r="N52" s="113" t="s">
        <v>526</v>
      </c>
      <c r="O52" s="81" t="n">
        <v>46</v>
      </c>
      <c r="P52" s="81" t="n">
        <v>2</v>
      </c>
      <c r="Q52" s="81" t="s">
        <v>408</v>
      </c>
      <c r="R52" s="81" t="s">
        <v>585</v>
      </c>
      <c r="S52" s="90" t="n">
        <v>45592.704007419</v>
      </c>
      <c r="T52" s="54" t="s">
        <v>76</v>
      </c>
    </row>
    <row r="53" customFormat="false" ht="288.6" hidden="false" customHeight="false" outlineLevel="0" collapsed="false">
      <c r="D53" s="81" t="s">
        <v>520</v>
      </c>
      <c r="I53" s="81" t="s">
        <v>520</v>
      </c>
      <c r="L53" s="82" t="s">
        <v>520</v>
      </c>
      <c r="M53" s="82" t="s">
        <v>619</v>
      </c>
      <c r="N53" s="120" t="s">
        <v>522</v>
      </c>
      <c r="O53" s="81" t="n">
        <v>47</v>
      </c>
      <c r="R53" s="81" t="s">
        <v>585</v>
      </c>
      <c r="S53" s="90" t="n">
        <v>45592.7042708333</v>
      </c>
      <c r="T53" s="121" t="s">
        <v>950</v>
      </c>
    </row>
    <row r="54" customFormat="false" ht="15" hidden="false" customHeight="false" outlineLevel="0" collapsed="false">
      <c r="F54" s="81" t="s">
        <v>520</v>
      </c>
      <c r="K54" s="81" t="n">
        <v>3</v>
      </c>
      <c r="N54" s="113" t="s">
        <v>526</v>
      </c>
      <c r="O54" s="81" t="n">
        <v>48</v>
      </c>
      <c r="P54" s="81" t="n">
        <v>2</v>
      </c>
      <c r="Q54" s="81" t="s">
        <v>408</v>
      </c>
      <c r="R54" s="81" t="s">
        <v>585</v>
      </c>
      <c r="S54" s="90" t="n">
        <v>45592.705767662</v>
      </c>
      <c r="T54" s="54" t="s">
        <v>78</v>
      </c>
    </row>
    <row r="55" customFormat="false" ht="238.6" hidden="false" customHeight="false" outlineLevel="0" collapsed="false">
      <c r="D55" s="81" t="s">
        <v>520</v>
      </c>
      <c r="I55" s="81" t="s">
        <v>530</v>
      </c>
      <c r="J55" s="106" t="s">
        <v>532</v>
      </c>
      <c r="L55" s="82" t="s">
        <v>520</v>
      </c>
      <c r="N55" s="120" t="s">
        <v>522</v>
      </c>
      <c r="O55" s="81" t="n">
        <v>49</v>
      </c>
      <c r="R55" s="81" t="s">
        <v>585</v>
      </c>
      <c r="S55" s="90" t="n">
        <v>45592.7060185185</v>
      </c>
      <c r="T55" s="121" t="s">
        <v>951</v>
      </c>
    </row>
    <row r="56" customFormat="false" ht="15" hidden="false" customHeight="false" outlineLevel="0" collapsed="false">
      <c r="N56" s="109"/>
    </row>
    <row r="57" customFormat="false" ht="15" hidden="false" customHeight="false" outlineLevel="0" collapsed="false">
      <c r="N57" s="109"/>
    </row>
    <row r="58" customFormat="false" ht="15" hidden="false" customHeight="false" outlineLevel="0" collapsed="false">
      <c r="N58" s="109"/>
    </row>
    <row r="59" customFormat="false" ht="15" hidden="false" customHeight="false" outlineLevel="0" collapsed="false">
      <c r="N59" s="109"/>
    </row>
    <row r="60" customFormat="false" ht="15" hidden="false" customHeight="false" outlineLevel="0" collapsed="false">
      <c r="N60" s="109"/>
    </row>
    <row r="61" customFormat="false" ht="15" hidden="false" customHeight="false" outlineLevel="0" collapsed="false">
      <c r="N61" s="109"/>
    </row>
    <row r="62" customFormat="false" ht="15" hidden="false" customHeight="false" outlineLevel="0" collapsed="false">
      <c r="N62" s="110"/>
    </row>
  </sheetData>
  <conditionalFormatting sqref="O7:S55">
    <cfRule type="expression" priority="2" aboveAverage="0" equalAverage="0" bottom="0" percent="0" rank="0" text="" dxfId="75">
      <formula>$N7="agent"</formula>
    </cfRule>
  </conditionalFormatting>
  <conditionalFormatting sqref="N2:S6">
    <cfRule type="expression" priority="3" aboveAverage="0" equalAverage="0" bottom="0" percent="0" rank="0" text="" dxfId="76">
      <formula>$N2="agent"</formula>
    </cfRule>
  </conditionalFormatting>
  <conditionalFormatting sqref="N56:S106">
    <cfRule type="expression" priority="4" aboveAverage="0" equalAverage="0" bottom="0" percent="0" rank="0" text="" dxfId="77">
      <formula>$N56="agent"</formula>
    </cfRule>
  </conditionalFormatting>
  <conditionalFormatting sqref="S2">
    <cfRule type="expression" priority="5" aboveAverage="0" equalAverage="0" bottom="0" percent="0" rank="0" text="" dxfId="78">
      <formula>$N3="agent"</formula>
    </cfRule>
  </conditionalFormatting>
  <conditionalFormatting sqref="A1:S1 T1:XFD3">
    <cfRule type="expression" priority="6" aboveAverage="0" equalAverage="0" bottom="0" percent="0" rank="0" text="" dxfId="79">
      <formula>$N1="agent"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1"/>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pane xSplit="0" ySplit="1" topLeftCell="A28" activePane="bottomLeft" state="frozen"/>
      <selection pane="topLeft" activeCell="I1" activeCellId="0" sqref="I1"/>
      <selection pane="bottomLeft" activeCell="T12" activeCellId="0" sqref="T12"/>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9.43"/>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57"/>
    <col collapsed="false" customWidth="true" hidden="false" outlineLevel="0" max="17" min="17" style="81" width="9"/>
    <col collapsed="false" customWidth="true" hidden="false" outlineLevel="0" max="18" min="18" style="81" width="17.86"/>
    <col collapsed="false" customWidth="true" hidden="false" outlineLevel="0" max="19" min="19" style="109" width="18.14"/>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n">
        <f aca="false">COUNTIF(C7:C100,"y")/(COUNTIF(C7:C100,"y")+COUNTIF(C7:C100,"n"))</f>
        <v>0.615384615384615</v>
      </c>
      <c r="D2" s="86" t="n">
        <f aca="false">COUNTIF(D7:D100,"y")/(COUNTIF(D7:D100,"y")+COUNTIF(D7:D100,"n"))</f>
        <v>0.954545454545455</v>
      </c>
      <c r="E2" s="86"/>
      <c r="F2" s="86" t="n">
        <f aca="false">COUNTIF(F7:F100,"y")/(COUNTIF(F7:F100,"y")+COUNTIF(F7:F100,"n"))</f>
        <v>0.952380952380952</v>
      </c>
      <c r="G2" s="86" t="n">
        <f aca="false">COUNTIF(G7:G100,"y")/(COUNTIF(G7:G100,"y")+COUNTIF(G7:G100,"n"))</f>
        <v>0</v>
      </c>
      <c r="H2" s="86"/>
      <c r="I2" s="86" t="n">
        <f aca="false">COUNTIF(I7:I100,"y")/(COUNTIF(I7:I100,"y")+COUNTIF(I7:I100,"n"))</f>
        <v>0.954545454545455</v>
      </c>
      <c r="J2" s="86"/>
      <c r="K2" s="86" t="n">
        <f aca="false">COUNTIF(K7:K100,"1")</f>
        <v>0</v>
      </c>
      <c r="L2" s="86" t="n">
        <f aca="false">COUNTIF(L7:L100,"y")/(COUNTIF(L7:L100,"y")+COUNTIF(L7:L100,"n"))</f>
        <v>1</v>
      </c>
      <c r="M2" s="86"/>
      <c r="O2" s="87" t="n">
        <f aca="false" t="array" ref="O2:O2">LOOKUP(2,1/(O:O&lt;&gt;""),O:O)</f>
        <v>43</v>
      </c>
      <c r="R2" s="83" t="n">
        <f aca="false">COUNTIF(R7:R100,"strategy")/2</f>
        <v>9</v>
      </c>
      <c r="S2" s="88" t="n">
        <f aca="false" t="array" ref="S2:S2">LOOKUP(2,1/(S:S&lt;&gt;""),S:S)-S7</f>
        <v>3.20486855323543</v>
      </c>
      <c r="T2" s="85"/>
    </row>
    <row r="3" s="83" customFormat="true" ht="15" hidden="false" customHeight="false" outlineLevel="0" collapsed="false">
      <c r="B3" s="89"/>
      <c r="C3" s="89"/>
      <c r="D3" s="89"/>
      <c r="E3" s="89"/>
      <c r="F3" s="89"/>
      <c r="G3" s="89"/>
      <c r="H3" s="89"/>
      <c r="I3" s="89"/>
      <c r="J3" s="89"/>
      <c r="K3" s="86" t="n">
        <f aca="false">COUNTIF(K7:K100,"2")</f>
        <v>0</v>
      </c>
      <c r="L3" s="89"/>
      <c r="M3" s="89"/>
      <c r="R3" s="83" t="n">
        <f aca="false">COUNTIF(R7:R100,"frequency")/2</f>
        <v>11</v>
      </c>
      <c r="T3" s="85"/>
    </row>
    <row r="4" s="83" customFormat="true" ht="15" hidden="false" customHeight="false" outlineLevel="0" collapsed="false">
      <c r="B4" s="89"/>
      <c r="C4" s="89"/>
      <c r="D4" s="89"/>
      <c r="E4" s="89"/>
      <c r="F4" s="89"/>
      <c r="G4" s="89"/>
      <c r="H4" s="89"/>
      <c r="I4" s="89"/>
      <c r="J4" s="89"/>
      <c r="K4" s="86" t="n">
        <f aca="false">COUNTIF(K7:K100,"3")</f>
        <v>21</v>
      </c>
      <c r="L4" s="89"/>
      <c r="M4" s="89"/>
      <c r="R4" s="83" t="n">
        <f aca="false">CEILING(COUNTIF(R7:R100,"complete")/2,1)</f>
        <v>1</v>
      </c>
      <c r="S4" s="105" t="n">
        <f aca="false">(S11-S7)+(S21-S12)+(S49-S22)</f>
        <v>0.0208638541662367</v>
      </c>
      <c r="T4" s="85"/>
    </row>
    <row r="5" s="83" customFormat="true" ht="15" hidden="false" customHeight="false" outlineLevel="0" collapsed="false">
      <c r="B5" s="89"/>
      <c r="C5" s="89"/>
      <c r="D5" s="89"/>
      <c r="E5" s="89"/>
      <c r="F5" s="89"/>
      <c r="G5" s="89"/>
      <c r="H5" s="89"/>
      <c r="I5" s="89"/>
      <c r="J5" s="89"/>
      <c r="K5" s="86" t="n">
        <f aca="false">COUNTIF(K7:K100,"4")</f>
        <v>0</v>
      </c>
      <c r="L5" s="89"/>
      <c r="M5" s="89"/>
      <c r="T5" s="85"/>
    </row>
    <row r="6" s="92" customFormat="true" ht="15" hidden="false" customHeight="false" outlineLevel="0" collapsed="false">
      <c r="B6" s="93"/>
      <c r="C6" s="93"/>
      <c r="D6" s="93"/>
      <c r="E6" s="93"/>
      <c r="F6" s="93"/>
      <c r="G6" s="93"/>
      <c r="H6" s="93"/>
      <c r="I6" s="93"/>
      <c r="J6" s="93"/>
      <c r="K6" s="94" t="n">
        <f aca="false">COUNTIF(K7:K100,"5")</f>
        <v>0</v>
      </c>
      <c r="L6" s="93"/>
      <c r="M6" s="93"/>
      <c r="T6" s="95"/>
    </row>
    <row r="7" s="96" customFormat="true" ht="51.1" hidden="false" customHeight="false" outlineLevel="0" collapsed="false">
      <c r="B7" s="97"/>
      <c r="D7" s="96" t="s">
        <v>520</v>
      </c>
      <c r="E7" s="97"/>
      <c r="I7" s="96" t="s">
        <v>520</v>
      </c>
      <c r="J7" s="97"/>
      <c r="L7" s="97" t="s">
        <v>525</v>
      </c>
      <c r="M7" s="97"/>
      <c r="N7" s="111" t="s">
        <v>522</v>
      </c>
      <c r="O7" s="96" t="n">
        <v>1</v>
      </c>
      <c r="R7" s="96" t="s">
        <v>523</v>
      </c>
      <c r="S7" s="98" t="n">
        <v>45582.6158892477</v>
      </c>
      <c r="T7" s="112" t="s">
        <v>952</v>
      </c>
    </row>
    <row r="8" customFormat="false" ht="15" hidden="false" customHeight="false" outlineLevel="0" collapsed="false">
      <c r="F8" s="81" t="s">
        <v>520</v>
      </c>
      <c r="K8" s="81" t="n">
        <v>3</v>
      </c>
      <c r="N8" s="113" t="s">
        <v>526</v>
      </c>
      <c r="O8" s="81" t="n">
        <v>2</v>
      </c>
      <c r="R8" s="81" t="s">
        <v>523</v>
      </c>
      <c r="S8" s="109" t="n">
        <v>45582.6177051042</v>
      </c>
      <c r="T8" s="54" t="s">
        <v>221</v>
      </c>
    </row>
    <row r="9" customFormat="false" ht="76.1" hidden="false" customHeight="false" outlineLevel="0" collapsed="false">
      <c r="D9" s="81" t="s">
        <v>520</v>
      </c>
      <c r="I9" s="81" t="s">
        <v>520</v>
      </c>
      <c r="L9" s="82" t="s">
        <v>520</v>
      </c>
      <c r="N9" s="120" t="s">
        <v>522</v>
      </c>
      <c r="O9" s="81" t="n">
        <v>3</v>
      </c>
      <c r="P9" s="81" t="n">
        <v>1</v>
      </c>
      <c r="R9" s="81" t="s">
        <v>389</v>
      </c>
      <c r="S9" s="109" t="n">
        <v>45582.6177051042</v>
      </c>
      <c r="T9" s="121" t="s">
        <v>953</v>
      </c>
    </row>
    <row r="10" customFormat="false" ht="124.5" hidden="false" customHeight="true" outlineLevel="0" collapsed="false">
      <c r="B10" s="82" t="s">
        <v>954</v>
      </c>
      <c r="C10" s="81" t="s">
        <v>520</v>
      </c>
      <c r="F10" s="81" t="s">
        <v>520</v>
      </c>
      <c r="K10" s="81" t="n">
        <v>3</v>
      </c>
      <c r="N10" s="113" t="s">
        <v>526</v>
      </c>
      <c r="O10" s="81" t="n">
        <v>4</v>
      </c>
      <c r="P10" s="81" t="n">
        <v>1</v>
      </c>
      <c r="R10" s="81" t="s">
        <v>389</v>
      </c>
      <c r="S10" s="109" t="n">
        <v>45582.6197245949</v>
      </c>
      <c r="T10" s="54" t="s">
        <v>222</v>
      </c>
    </row>
    <row r="11" customFormat="false" ht="88.6" hidden="false" customHeight="false" outlineLevel="0" collapsed="false">
      <c r="C11" s="81" t="s">
        <v>520</v>
      </c>
      <c r="D11" s="81" t="s">
        <v>520</v>
      </c>
      <c r="I11" s="81" t="s">
        <v>520</v>
      </c>
      <c r="L11" s="82" t="s">
        <v>520</v>
      </c>
      <c r="N11" s="111" t="s">
        <v>522</v>
      </c>
      <c r="O11" s="81" t="n">
        <v>5</v>
      </c>
      <c r="P11" s="81" t="n">
        <v>1</v>
      </c>
      <c r="Q11" s="81" t="s">
        <v>397</v>
      </c>
      <c r="R11" s="81" t="s">
        <v>534</v>
      </c>
      <c r="S11" s="109" t="n">
        <v>45582.6197245949</v>
      </c>
      <c r="T11" s="112" t="s">
        <v>955</v>
      </c>
    </row>
    <row r="12" customFormat="false" ht="15" hidden="false" customHeight="false" outlineLevel="0" collapsed="false">
      <c r="C12" s="81" t="s">
        <v>520</v>
      </c>
      <c r="F12" s="81" t="s">
        <v>530</v>
      </c>
      <c r="K12" s="81" t="n">
        <v>3</v>
      </c>
      <c r="N12" s="113" t="s">
        <v>526</v>
      </c>
      <c r="O12" s="81" t="n">
        <v>6</v>
      </c>
      <c r="P12" s="81" t="n">
        <v>1</v>
      </c>
      <c r="Q12" s="81" t="s">
        <v>397</v>
      </c>
      <c r="R12" s="81" t="s">
        <v>534</v>
      </c>
      <c r="S12" s="109" t="n">
        <v>45585.7513877894</v>
      </c>
      <c r="T12" s="54" t="s">
        <v>223</v>
      </c>
    </row>
    <row r="13" customFormat="false" ht="88.6" hidden="false" customHeight="false" outlineLevel="0" collapsed="false">
      <c r="C13" s="81" t="s">
        <v>530</v>
      </c>
      <c r="D13" s="81" t="s">
        <v>520</v>
      </c>
      <c r="G13" s="81" t="s">
        <v>530</v>
      </c>
      <c r="H13" s="82" t="s">
        <v>956</v>
      </c>
      <c r="I13" s="81" t="s">
        <v>520</v>
      </c>
      <c r="L13" s="82" t="s">
        <v>520</v>
      </c>
      <c r="N13" s="120" t="s">
        <v>522</v>
      </c>
      <c r="O13" s="81" t="n">
        <v>7</v>
      </c>
      <c r="P13" s="81" t="n">
        <v>1</v>
      </c>
      <c r="Q13" s="81" t="s">
        <v>399</v>
      </c>
      <c r="R13" s="81" t="s">
        <v>534</v>
      </c>
      <c r="S13" s="109" t="n">
        <v>45585.7513877894</v>
      </c>
      <c r="T13" s="121" t="s">
        <v>957</v>
      </c>
    </row>
    <row r="14" customFormat="false" ht="15" hidden="false" customHeight="false" outlineLevel="0" collapsed="false">
      <c r="F14" s="81" t="s">
        <v>520</v>
      </c>
      <c r="K14" s="81" t="n">
        <v>3</v>
      </c>
      <c r="N14" s="113" t="s">
        <v>526</v>
      </c>
      <c r="O14" s="81" t="n">
        <v>8</v>
      </c>
      <c r="P14" s="81" t="n">
        <v>1</v>
      </c>
      <c r="Q14" s="81" t="s">
        <v>399</v>
      </c>
      <c r="R14" s="81" t="s">
        <v>534</v>
      </c>
      <c r="S14" s="109" t="n">
        <v>45585.7563131482</v>
      </c>
      <c r="T14" s="54" t="n">
        <v>4</v>
      </c>
    </row>
    <row r="15" customFormat="false" ht="38.6" hidden="false" customHeight="false" outlineLevel="0" collapsed="false">
      <c r="D15" s="81" t="s">
        <v>520</v>
      </c>
      <c r="I15" s="81" t="s">
        <v>520</v>
      </c>
      <c r="L15" s="82" t="s">
        <v>520</v>
      </c>
      <c r="N15" s="111" t="s">
        <v>522</v>
      </c>
      <c r="O15" s="81" t="n">
        <v>9</v>
      </c>
      <c r="P15" s="81" t="n">
        <v>1</v>
      </c>
      <c r="Q15" s="81" t="s">
        <v>407</v>
      </c>
      <c r="R15" s="81" t="s">
        <v>534</v>
      </c>
      <c r="S15" s="109" t="n">
        <v>45585.7563131482</v>
      </c>
      <c r="T15" s="112" t="s">
        <v>958</v>
      </c>
    </row>
    <row r="16" customFormat="false" ht="15" hidden="false" customHeight="false" outlineLevel="0" collapsed="false">
      <c r="F16" s="81" t="s">
        <v>520</v>
      </c>
      <c r="K16" s="81" t="n">
        <v>3</v>
      </c>
      <c r="N16" s="113" t="s">
        <v>526</v>
      </c>
      <c r="O16" s="81" t="n">
        <v>10</v>
      </c>
      <c r="P16" s="81" t="n">
        <v>1</v>
      </c>
      <c r="Q16" s="81" t="s">
        <v>407</v>
      </c>
      <c r="R16" s="81" t="s">
        <v>534</v>
      </c>
      <c r="S16" s="109" t="n">
        <v>45585.7574679514</v>
      </c>
      <c r="T16" s="54" t="n">
        <v>2</v>
      </c>
    </row>
    <row r="17" customFormat="false" ht="63.6" hidden="false" customHeight="false" outlineLevel="0" collapsed="false">
      <c r="D17" s="81" t="s">
        <v>520</v>
      </c>
      <c r="I17" s="81" t="s">
        <v>520</v>
      </c>
      <c r="L17" s="82" t="s">
        <v>520</v>
      </c>
      <c r="N17" s="120" t="s">
        <v>522</v>
      </c>
      <c r="O17" s="81" t="n">
        <v>11</v>
      </c>
      <c r="P17" s="81" t="n">
        <v>1</v>
      </c>
      <c r="Q17" s="81" t="s">
        <v>408</v>
      </c>
      <c r="R17" s="81" t="s">
        <v>534</v>
      </c>
      <c r="S17" s="109" t="n">
        <v>45585.7574679514</v>
      </c>
      <c r="T17" s="121" t="s">
        <v>959</v>
      </c>
    </row>
    <row r="18" customFormat="false" ht="15" hidden="false" customHeight="false" outlineLevel="0" collapsed="false">
      <c r="F18" s="81" t="s">
        <v>520</v>
      </c>
      <c r="K18" s="81" t="n">
        <v>3</v>
      </c>
      <c r="N18" s="113" t="s">
        <v>526</v>
      </c>
      <c r="O18" s="81" t="n">
        <v>12</v>
      </c>
      <c r="P18" s="81" t="n">
        <v>1</v>
      </c>
      <c r="Q18" s="81" t="s">
        <v>408</v>
      </c>
      <c r="R18" s="81" t="s">
        <v>534</v>
      </c>
      <c r="S18" s="109" t="n">
        <v>45585.7579201852</v>
      </c>
      <c r="T18" s="54" t="n">
        <v>3</v>
      </c>
    </row>
    <row r="19" customFormat="false" ht="101.1" hidden="false" customHeight="false" outlineLevel="0" collapsed="false">
      <c r="D19" s="81" t="s">
        <v>520</v>
      </c>
      <c r="I19" s="81" t="s">
        <v>520</v>
      </c>
      <c r="L19" s="82" t="s">
        <v>520</v>
      </c>
      <c r="N19" s="111" t="s">
        <v>522</v>
      </c>
      <c r="O19" s="81" t="n">
        <v>13</v>
      </c>
      <c r="P19" s="81" t="n">
        <v>3</v>
      </c>
      <c r="Q19" s="81" t="s">
        <v>408</v>
      </c>
      <c r="R19" s="81" t="s">
        <v>389</v>
      </c>
      <c r="S19" s="109" t="n">
        <v>45585.7579201852</v>
      </c>
      <c r="T19" s="112" t="s">
        <v>960</v>
      </c>
    </row>
    <row r="20" customFormat="false" ht="26.1" hidden="false" customHeight="false" outlineLevel="0" collapsed="false">
      <c r="B20" s="82" t="s">
        <v>398</v>
      </c>
      <c r="C20" s="81" t="s">
        <v>520</v>
      </c>
      <c r="F20" s="81" t="s">
        <v>520</v>
      </c>
      <c r="K20" s="81" t="n">
        <v>3</v>
      </c>
      <c r="N20" s="113" t="s">
        <v>526</v>
      </c>
      <c r="O20" s="81" t="n">
        <v>14</v>
      </c>
      <c r="P20" s="81" t="n">
        <v>3</v>
      </c>
      <c r="Q20" s="81" t="s">
        <v>408</v>
      </c>
      <c r="R20" s="81" t="s">
        <v>389</v>
      </c>
      <c r="S20" s="109" t="n">
        <v>45585.7589268634</v>
      </c>
      <c r="T20" s="54" t="s">
        <v>224</v>
      </c>
    </row>
    <row r="21" customFormat="false" ht="126.1" hidden="false" customHeight="false" outlineLevel="0" collapsed="false">
      <c r="D21" s="81" t="s">
        <v>520</v>
      </c>
      <c r="I21" s="81" t="s">
        <v>530</v>
      </c>
      <c r="J21" s="106" t="s">
        <v>532</v>
      </c>
      <c r="L21" s="82" t="s">
        <v>520</v>
      </c>
      <c r="N21" s="120" t="s">
        <v>522</v>
      </c>
      <c r="O21" s="81" t="n">
        <v>15</v>
      </c>
      <c r="P21" s="81" t="n">
        <v>3</v>
      </c>
      <c r="Q21" s="81" t="s">
        <v>398</v>
      </c>
      <c r="R21" s="81" t="s">
        <v>534</v>
      </c>
      <c r="S21" s="109" t="n">
        <v>45585.7589268634</v>
      </c>
      <c r="T21" s="121" t="s">
        <v>961</v>
      </c>
    </row>
    <row r="22" customFormat="false" ht="15" hidden="false" customHeight="false" outlineLevel="0" collapsed="false">
      <c r="F22" s="81" t="s">
        <v>520</v>
      </c>
      <c r="K22" s="81" t="n">
        <v>3</v>
      </c>
      <c r="N22" s="113" t="s">
        <v>526</v>
      </c>
      <c r="O22" s="81" t="n">
        <v>16</v>
      </c>
      <c r="P22" s="81" t="n">
        <v>3</v>
      </c>
      <c r="Q22" s="81" t="s">
        <v>398</v>
      </c>
      <c r="R22" s="81" t="s">
        <v>534</v>
      </c>
      <c r="S22" s="109" t="n">
        <v>45585.8112683681</v>
      </c>
      <c r="T22" s="54" t="s">
        <v>225</v>
      </c>
    </row>
    <row r="23" customFormat="false" ht="101.1" hidden="false" customHeight="false" outlineLevel="0" collapsed="false">
      <c r="D23" s="81" t="s">
        <v>520</v>
      </c>
      <c r="I23" s="81" t="s">
        <v>520</v>
      </c>
      <c r="L23" s="82" t="s">
        <v>520</v>
      </c>
      <c r="N23" s="111" t="s">
        <v>522</v>
      </c>
      <c r="O23" s="81" t="n">
        <v>17</v>
      </c>
      <c r="P23" s="81" t="n">
        <v>4</v>
      </c>
      <c r="Q23" s="81" t="s">
        <v>398</v>
      </c>
      <c r="R23" s="81" t="s">
        <v>389</v>
      </c>
      <c r="S23" s="109" t="n">
        <v>45585.8112683681</v>
      </c>
      <c r="T23" s="112" t="s">
        <v>962</v>
      </c>
    </row>
    <row r="24" customFormat="false" ht="15" hidden="false" customHeight="false" outlineLevel="0" collapsed="false">
      <c r="B24" s="82" t="s">
        <v>650</v>
      </c>
      <c r="C24" s="81" t="s">
        <v>520</v>
      </c>
      <c r="F24" s="81" t="s">
        <v>520</v>
      </c>
      <c r="K24" s="81" t="n">
        <v>3</v>
      </c>
      <c r="N24" s="113" t="s">
        <v>526</v>
      </c>
      <c r="O24" s="81" t="n">
        <v>18</v>
      </c>
      <c r="P24" s="81" t="n">
        <v>4</v>
      </c>
      <c r="Q24" s="81" t="s">
        <v>398</v>
      </c>
      <c r="R24" s="81" t="s">
        <v>389</v>
      </c>
      <c r="S24" s="109" t="n">
        <v>45585.8120332176</v>
      </c>
      <c r="T24" s="54" t="s">
        <v>226</v>
      </c>
    </row>
    <row r="25" customFormat="false" ht="51.1" hidden="false" customHeight="false" outlineLevel="0" collapsed="false">
      <c r="C25" s="81" t="s">
        <v>520</v>
      </c>
      <c r="D25" s="81" t="s">
        <v>520</v>
      </c>
      <c r="I25" s="81" t="s">
        <v>520</v>
      </c>
      <c r="L25" s="82" t="s">
        <v>520</v>
      </c>
      <c r="N25" s="120" t="s">
        <v>522</v>
      </c>
      <c r="O25" s="81" t="n">
        <v>19</v>
      </c>
      <c r="P25" s="81" t="n">
        <v>4</v>
      </c>
      <c r="Q25" s="81" t="s">
        <v>394</v>
      </c>
      <c r="R25" s="81" t="s">
        <v>534</v>
      </c>
      <c r="S25" s="109" t="n">
        <v>45585.8120332176</v>
      </c>
      <c r="T25" s="121" t="s">
        <v>963</v>
      </c>
    </row>
    <row r="26" customFormat="false" ht="15" hidden="false" customHeight="false" outlineLevel="0" collapsed="false">
      <c r="F26" s="81" t="s">
        <v>520</v>
      </c>
      <c r="K26" s="81" t="n">
        <v>3</v>
      </c>
      <c r="N26" s="113" t="s">
        <v>526</v>
      </c>
      <c r="O26" s="81" t="n">
        <v>20</v>
      </c>
      <c r="P26" s="81" t="n">
        <v>4</v>
      </c>
      <c r="Q26" s="81" t="s">
        <v>394</v>
      </c>
      <c r="R26" s="81" t="s">
        <v>534</v>
      </c>
      <c r="S26" s="109" t="n">
        <v>45585.8125123032</v>
      </c>
      <c r="T26" s="54" t="n">
        <v>2</v>
      </c>
    </row>
    <row r="27" customFormat="false" ht="63.6" hidden="false" customHeight="false" outlineLevel="0" collapsed="false">
      <c r="D27" s="81" t="s">
        <v>520</v>
      </c>
      <c r="I27" s="81" t="s">
        <v>520</v>
      </c>
      <c r="L27" s="82" t="s">
        <v>520</v>
      </c>
      <c r="N27" s="111" t="s">
        <v>522</v>
      </c>
      <c r="O27" s="81" t="n">
        <v>21</v>
      </c>
      <c r="P27" s="81" t="n">
        <v>4</v>
      </c>
      <c r="Q27" s="81" t="s">
        <v>396</v>
      </c>
      <c r="R27" s="81" t="s">
        <v>534</v>
      </c>
      <c r="S27" s="109" t="n">
        <v>45585.8125123032</v>
      </c>
      <c r="T27" s="112" t="s">
        <v>964</v>
      </c>
    </row>
    <row r="28" customFormat="false" ht="15" hidden="false" customHeight="false" outlineLevel="0" collapsed="false">
      <c r="F28" s="81" t="s">
        <v>520</v>
      </c>
      <c r="K28" s="81" t="n">
        <v>3</v>
      </c>
      <c r="N28" s="113" t="s">
        <v>526</v>
      </c>
      <c r="O28" s="81" t="n">
        <v>22</v>
      </c>
      <c r="P28" s="81" t="n">
        <v>4</v>
      </c>
      <c r="Q28" s="81" t="s">
        <v>396</v>
      </c>
      <c r="R28" s="81" t="s">
        <v>534</v>
      </c>
      <c r="S28" s="109" t="n">
        <v>45585.8128018519</v>
      </c>
      <c r="T28" s="54" t="n">
        <v>2</v>
      </c>
    </row>
    <row r="29" customFormat="false" ht="76.1" hidden="false" customHeight="false" outlineLevel="0" collapsed="false">
      <c r="D29" s="81" t="s">
        <v>520</v>
      </c>
      <c r="I29" s="81" t="s">
        <v>520</v>
      </c>
      <c r="L29" s="82" t="s">
        <v>520</v>
      </c>
      <c r="N29" s="120" t="s">
        <v>522</v>
      </c>
      <c r="O29" s="81" t="n">
        <v>23</v>
      </c>
      <c r="P29" s="81" t="n">
        <v>6</v>
      </c>
      <c r="Q29" s="81" t="s">
        <v>396</v>
      </c>
      <c r="R29" s="81" t="s">
        <v>389</v>
      </c>
      <c r="S29" s="109" t="n">
        <v>45585.8128018519</v>
      </c>
      <c r="T29" s="121" t="s">
        <v>965</v>
      </c>
    </row>
    <row r="30" customFormat="false" ht="15" hidden="false" customHeight="false" outlineLevel="0" collapsed="false">
      <c r="B30" s="82" t="s">
        <v>409</v>
      </c>
      <c r="C30" s="81" t="s">
        <v>530</v>
      </c>
      <c r="F30" s="81" t="s">
        <v>520</v>
      </c>
      <c r="K30" s="81" t="n">
        <v>3</v>
      </c>
      <c r="N30" s="113" t="s">
        <v>526</v>
      </c>
      <c r="O30" s="81" t="n">
        <v>24</v>
      </c>
      <c r="P30" s="81" t="n">
        <v>6</v>
      </c>
      <c r="Q30" s="81" t="s">
        <v>396</v>
      </c>
      <c r="R30" s="81" t="s">
        <v>389</v>
      </c>
      <c r="S30" s="109" t="n">
        <v>45585.8136014005</v>
      </c>
      <c r="T30" s="54" t="s">
        <v>227</v>
      </c>
    </row>
    <row r="31" customFormat="false" ht="26.1" hidden="false" customHeight="false" outlineLevel="0" collapsed="false">
      <c r="C31" s="81" t="s">
        <v>530</v>
      </c>
      <c r="D31" s="81" t="s">
        <v>520</v>
      </c>
      <c r="I31" s="81" t="s">
        <v>520</v>
      </c>
      <c r="L31" s="82" t="s">
        <v>520</v>
      </c>
      <c r="N31" s="111" t="s">
        <v>522</v>
      </c>
      <c r="O31" s="81" t="n">
        <v>25</v>
      </c>
      <c r="P31" s="81" t="n">
        <v>6</v>
      </c>
      <c r="Q31" s="81" t="s">
        <v>396</v>
      </c>
      <c r="R31" s="81" t="s">
        <v>389</v>
      </c>
      <c r="S31" s="109" t="n">
        <v>45585.8136014005</v>
      </c>
      <c r="T31" s="112" t="s">
        <v>966</v>
      </c>
    </row>
    <row r="32" customFormat="false" ht="15" hidden="false" customHeight="false" outlineLevel="0" collapsed="false">
      <c r="F32" s="81" t="s">
        <v>520</v>
      </c>
      <c r="K32" s="81" t="n">
        <v>3</v>
      </c>
      <c r="N32" s="113" t="s">
        <v>526</v>
      </c>
      <c r="O32" s="81" t="n">
        <v>26</v>
      </c>
      <c r="P32" s="81" t="n">
        <v>6</v>
      </c>
      <c r="Q32" s="81" t="s">
        <v>396</v>
      </c>
      <c r="R32" s="81" t="s">
        <v>389</v>
      </c>
      <c r="S32" s="109" t="n">
        <v>45585.8143397454</v>
      </c>
      <c r="T32" s="54" t="s">
        <v>228</v>
      </c>
    </row>
    <row r="33" customFormat="false" ht="63.6" hidden="false" customHeight="false" outlineLevel="0" collapsed="false">
      <c r="D33" s="81" t="s">
        <v>520</v>
      </c>
      <c r="I33" s="81" t="s">
        <v>520</v>
      </c>
      <c r="L33" s="82" t="s">
        <v>520</v>
      </c>
      <c r="N33" s="120" t="s">
        <v>522</v>
      </c>
      <c r="O33" s="81" t="n">
        <v>27</v>
      </c>
      <c r="P33" s="81" t="n">
        <v>6</v>
      </c>
      <c r="Q33" s="81" t="s">
        <v>406</v>
      </c>
      <c r="R33" s="81" t="s">
        <v>534</v>
      </c>
      <c r="S33" s="109" t="n">
        <v>45585.8143397454</v>
      </c>
      <c r="T33" s="121" t="s">
        <v>967</v>
      </c>
    </row>
    <row r="34" customFormat="false" ht="15" hidden="false" customHeight="false" outlineLevel="0" collapsed="false">
      <c r="F34" s="81" t="s">
        <v>520</v>
      </c>
      <c r="K34" s="81" t="n">
        <v>3</v>
      </c>
      <c r="N34" s="113" t="s">
        <v>526</v>
      </c>
      <c r="O34" s="81" t="n">
        <v>28</v>
      </c>
      <c r="P34" s="81" t="n">
        <v>6</v>
      </c>
      <c r="Q34" s="81" t="s">
        <v>406</v>
      </c>
      <c r="R34" s="81" t="s">
        <v>534</v>
      </c>
      <c r="S34" s="109" t="n">
        <v>45585.8152386227</v>
      </c>
      <c r="T34" s="54" t="n">
        <v>4</v>
      </c>
    </row>
    <row r="35" customFormat="false" ht="101.1" hidden="false" customHeight="false" outlineLevel="0" collapsed="false">
      <c r="D35" s="81" t="s">
        <v>520</v>
      </c>
      <c r="I35" s="81" t="s">
        <v>520</v>
      </c>
      <c r="L35" s="82" t="s">
        <v>520</v>
      </c>
      <c r="N35" s="111" t="s">
        <v>522</v>
      </c>
      <c r="O35" s="81" t="n">
        <v>29</v>
      </c>
      <c r="P35" s="81" t="n">
        <v>5</v>
      </c>
      <c r="Q35" s="81" t="s">
        <v>406</v>
      </c>
      <c r="R35" s="81" t="s">
        <v>389</v>
      </c>
      <c r="S35" s="109" t="n">
        <v>45585.8152386227</v>
      </c>
      <c r="T35" s="112" t="s">
        <v>968</v>
      </c>
    </row>
    <row r="36" customFormat="false" ht="15" hidden="false" customHeight="false" outlineLevel="0" collapsed="false">
      <c r="B36" s="82" t="s">
        <v>396</v>
      </c>
      <c r="C36" s="81" t="s">
        <v>520</v>
      </c>
      <c r="F36" s="81" t="s">
        <v>520</v>
      </c>
      <c r="K36" s="81" t="n">
        <v>3</v>
      </c>
      <c r="N36" s="113" t="s">
        <v>526</v>
      </c>
      <c r="O36" s="81" t="n">
        <v>30</v>
      </c>
      <c r="P36" s="81" t="n">
        <v>5</v>
      </c>
      <c r="Q36" s="81" t="s">
        <v>406</v>
      </c>
      <c r="R36" s="81" t="s">
        <v>389</v>
      </c>
      <c r="S36" s="109" t="n">
        <v>45585.8165697454</v>
      </c>
      <c r="T36" s="54" t="s">
        <v>229</v>
      </c>
    </row>
    <row r="37" customFormat="false" ht="26.1" hidden="false" customHeight="false" outlineLevel="0" collapsed="false">
      <c r="C37" s="81" t="s">
        <v>530</v>
      </c>
      <c r="D37" s="81" t="s">
        <v>520</v>
      </c>
      <c r="I37" s="81" t="s">
        <v>520</v>
      </c>
      <c r="L37" s="82" t="s">
        <v>520</v>
      </c>
      <c r="N37" s="120" t="s">
        <v>522</v>
      </c>
      <c r="O37" s="81" t="n">
        <v>31</v>
      </c>
      <c r="P37" s="81" t="n">
        <v>5</v>
      </c>
      <c r="Q37" s="81" t="s">
        <v>406</v>
      </c>
      <c r="R37" s="81" t="s">
        <v>389</v>
      </c>
      <c r="S37" s="109" t="n">
        <v>45585.8165697454</v>
      </c>
      <c r="T37" s="121" t="s">
        <v>969</v>
      </c>
    </row>
    <row r="38" customFormat="false" ht="15" hidden="false" customHeight="false" outlineLevel="0" collapsed="false">
      <c r="F38" s="81" t="s">
        <v>520</v>
      </c>
      <c r="K38" s="81" t="n">
        <v>3</v>
      </c>
      <c r="N38" s="113" t="s">
        <v>526</v>
      </c>
      <c r="O38" s="81" t="n">
        <v>32</v>
      </c>
      <c r="P38" s="81" t="n">
        <v>5</v>
      </c>
      <c r="Q38" s="81" t="s">
        <v>406</v>
      </c>
      <c r="R38" s="81" t="s">
        <v>389</v>
      </c>
      <c r="S38" s="109" t="n">
        <v>45585.8178062963</v>
      </c>
      <c r="T38" s="54" t="s">
        <v>230</v>
      </c>
    </row>
    <row r="39" customFormat="false" ht="26.1" hidden="false" customHeight="false" outlineLevel="0" collapsed="false">
      <c r="D39" s="81" t="s">
        <v>520</v>
      </c>
      <c r="I39" s="81" t="s">
        <v>520</v>
      </c>
      <c r="L39" s="82" t="s">
        <v>520</v>
      </c>
      <c r="N39" s="111" t="s">
        <v>522</v>
      </c>
      <c r="O39" s="81" t="n">
        <v>33</v>
      </c>
      <c r="P39" s="81" t="n">
        <v>5</v>
      </c>
      <c r="Q39" s="81" t="s">
        <v>396</v>
      </c>
      <c r="R39" s="81" t="s">
        <v>534</v>
      </c>
      <c r="S39" s="109" t="n">
        <v>45585.8178062963</v>
      </c>
      <c r="T39" s="112" t="s">
        <v>970</v>
      </c>
    </row>
    <row r="40" customFormat="false" ht="15" hidden="false" customHeight="false" outlineLevel="0" collapsed="false">
      <c r="F40" s="81" t="s">
        <v>520</v>
      </c>
      <c r="K40" s="81" t="n">
        <v>3</v>
      </c>
      <c r="N40" s="113" t="s">
        <v>526</v>
      </c>
      <c r="O40" s="81" t="n">
        <v>34</v>
      </c>
      <c r="P40" s="81" t="n">
        <v>5</v>
      </c>
      <c r="Q40" s="81" t="s">
        <v>396</v>
      </c>
      <c r="R40" s="81" t="s">
        <v>534</v>
      </c>
      <c r="S40" s="109" t="n">
        <v>45585.8184650347</v>
      </c>
      <c r="T40" s="54" t="s">
        <v>231</v>
      </c>
    </row>
    <row r="41" customFormat="false" ht="138.6" hidden="false" customHeight="false" outlineLevel="0" collapsed="false">
      <c r="D41" s="81" t="s">
        <v>520</v>
      </c>
      <c r="I41" s="81" t="s">
        <v>520</v>
      </c>
      <c r="L41" s="82" t="s">
        <v>520</v>
      </c>
      <c r="N41" s="120" t="s">
        <v>522</v>
      </c>
      <c r="O41" s="81" t="n">
        <v>35</v>
      </c>
      <c r="P41" s="81" t="n">
        <v>5</v>
      </c>
      <c r="Q41" s="81" t="s">
        <v>393</v>
      </c>
      <c r="R41" s="81" t="s">
        <v>534</v>
      </c>
      <c r="S41" s="109" t="n">
        <v>45585.8184650347</v>
      </c>
      <c r="T41" s="121" t="s">
        <v>971</v>
      </c>
    </row>
    <row r="42" customFormat="false" ht="15" hidden="false" customHeight="false" outlineLevel="0" collapsed="false">
      <c r="F42" s="81" t="s">
        <v>520</v>
      </c>
      <c r="K42" s="81" t="n">
        <v>3</v>
      </c>
      <c r="N42" s="113" t="s">
        <v>526</v>
      </c>
      <c r="O42" s="81" t="n">
        <v>36</v>
      </c>
      <c r="P42" s="81" t="n">
        <v>5</v>
      </c>
      <c r="Q42" s="81" t="s">
        <v>393</v>
      </c>
      <c r="R42" s="81" t="s">
        <v>534</v>
      </c>
      <c r="S42" s="109" t="n">
        <v>45585.8192771644</v>
      </c>
      <c r="T42" s="54" t="s">
        <v>232</v>
      </c>
    </row>
    <row r="43" customFormat="false" ht="113.6" hidden="false" customHeight="false" outlineLevel="0" collapsed="false">
      <c r="D43" s="81" t="s">
        <v>520</v>
      </c>
      <c r="I43" s="81" t="s">
        <v>520</v>
      </c>
      <c r="L43" s="82" t="s">
        <v>520</v>
      </c>
      <c r="N43" s="111" t="s">
        <v>522</v>
      </c>
      <c r="O43" s="81" t="n">
        <v>37</v>
      </c>
      <c r="P43" s="81" t="n">
        <v>2</v>
      </c>
      <c r="Q43" s="81" t="s">
        <v>393</v>
      </c>
      <c r="R43" s="81" t="s">
        <v>389</v>
      </c>
      <c r="S43" s="109" t="n">
        <v>45585.8192771644</v>
      </c>
      <c r="T43" s="112" t="s">
        <v>972</v>
      </c>
    </row>
    <row r="44" customFormat="false" ht="15" hidden="false" customHeight="false" outlineLevel="0" collapsed="false">
      <c r="B44" s="82" t="s">
        <v>396</v>
      </c>
      <c r="C44" s="81" t="s">
        <v>520</v>
      </c>
      <c r="F44" s="81" t="s">
        <v>520</v>
      </c>
      <c r="K44" s="81" t="n">
        <v>3</v>
      </c>
      <c r="N44" s="113" t="s">
        <v>526</v>
      </c>
      <c r="O44" s="81" t="n">
        <v>38</v>
      </c>
      <c r="P44" s="81" t="n">
        <v>2</v>
      </c>
      <c r="Q44" s="81" t="s">
        <v>393</v>
      </c>
      <c r="R44" s="81" t="s">
        <v>389</v>
      </c>
      <c r="S44" s="109" t="n">
        <v>45585.8199989005</v>
      </c>
      <c r="T44" s="54" t="s">
        <v>233</v>
      </c>
    </row>
    <row r="45" customFormat="false" ht="15" hidden="false" customHeight="false" outlineLevel="0" collapsed="false">
      <c r="D45" s="81" t="s">
        <v>520</v>
      </c>
      <c r="I45" s="81" t="s">
        <v>520</v>
      </c>
      <c r="L45" s="82" t="s">
        <v>520</v>
      </c>
      <c r="N45" s="120" t="s">
        <v>522</v>
      </c>
      <c r="O45" s="81" t="n">
        <v>39</v>
      </c>
      <c r="P45" s="81" t="n">
        <v>2</v>
      </c>
      <c r="Q45" s="81" t="s">
        <v>393</v>
      </c>
      <c r="R45" s="81" t="s">
        <v>389</v>
      </c>
      <c r="S45" s="109" t="n">
        <v>45585.8199989005</v>
      </c>
      <c r="T45" s="121" t="s">
        <v>973</v>
      </c>
    </row>
    <row r="46" customFormat="false" ht="15" hidden="false" customHeight="false" outlineLevel="0" collapsed="false">
      <c r="B46" s="82" t="s">
        <v>404</v>
      </c>
      <c r="C46" s="81" t="s">
        <v>530</v>
      </c>
      <c r="F46" s="81" t="s">
        <v>520</v>
      </c>
      <c r="K46" s="81" t="n">
        <v>3</v>
      </c>
      <c r="N46" s="113" t="s">
        <v>526</v>
      </c>
      <c r="O46" s="81" t="n">
        <v>40</v>
      </c>
      <c r="P46" s="81" t="n">
        <v>2</v>
      </c>
      <c r="Q46" s="81" t="s">
        <v>393</v>
      </c>
      <c r="R46" s="81" t="s">
        <v>389</v>
      </c>
      <c r="S46" s="109" t="n">
        <v>45585.8205039815</v>
      </c>
      <c r="T46" s="54" t="s">
        <v>234</v>
      </c>
    </row>
    <row r="47" customFormat="false" ht="51.1" hidden="false" customHeight="false" outlineLevel="0" collapsed="false">
      <c r="D47" s="81" t="s">
        <v>520</v>
      </c>
      <c r="I47" s="81" t="s">
        <v>520</v>
      </c>
      <c r="L47" s="82" t="s">
        <v>520</v>
      </c>
      <c r="N47" s="111" t="s">
        <v>522</v>
      </c>
      <c r="O47" s="81" t="n">
        <v>41</v>
      </c>
      <c r="P47" s="81" t="n">
        <v>2</v>
      </c>
      <c r="Q47" s="81" t="s">
        <v>396</v>
      </c>
      <c r="R47" s="81" t="s">
        <v>534</v>
      </c>
      <c r="S47" s="109" t="n">
        <v>45585.8205039815</v>
      </c>
      <c r="T47" s="112" t="s">
        <v>974</v>
      </c>
    </row>
    <row r="48" customFormat="false" ht="15" hidden="false" customHeight="false" outlineLevel="0" collapsed="false">
      <c r="F48" s="81" t="s">
        <v>520</v>
      </c>
      <c r="K48" s="81" t="n">
        <v>3</v>
      </c>
      <c r="N48" s="113" t="s">
        <v>526</v>
      </c>
      <c r="O48" s="81" t="n">
        <v>42</v>
      </c>
      <c r="P48" s="81" t="n">
        <v>2</v>
      </c>
      <c r="Q48" s="81" t="s">
        <v>396</v>
      </c>
      <c r="R48" s="81" t="s">
        <v>534</v>
      </c>
      <c r="S48" s="109" t="n">
        <v>45585.8207578009</v>
      </c>
      <c r="T48" s="54" t="n">
        <v>4</v>
      </c>
    </row>
    <row r="49" customFormat="false" ht="251.1" hidden="false" customHeight="false" outlineLevel="0" collapsed="false">
      <c r="D49" s="81" t="s">
        <v>530</v>
      </c>
      <c r="E49" s="82" t="s">
        <v>975</v>
      </c>
      <c r="I49" s="81" t="s">
        <v>520</v>
      </c>
      <c r="L49" s="82" t="s">
        <v>520</v>
      </c>
      <c r="N49" s="120" t="s">
        <v>522</v>
      </c>
      <c r="O49" s="81" t="n">
        <v>43</v>
      </c>
      <c r="Q49" s="81" t="s">
        <v>396</v>
      </c>
      <c r="R49" s="81" t="s">
        <v>585</v>
      </c>
      <c r="S49" s="109" t="n">
        <v>45585.8207578009</v>
      </c>
      <c r="T49" s="121" t="s">
        <v>976</v>
      </c>
    </row>
    <row r="50" customFormat="false" ht="15" hidden="false" customHeight="false" outlineLevel="0" collapsed="false">
      <c r="N50" s="109"/>
    </row>
    <row r="51" customFormat="false" ht="15" hidden="false" customHeight="false" outlineLevel="0" collapsed="false">
      <c r="N51" s="109"/>
    </row>
    <row r="52" customFormat="false" ht="15" hidden="false" customHeight="false" outlineLevel="0" collapsed="false">
      <c r="N52" s="109"/>
    </row>
    <row r="53" customFormat="false" ht="15" hidden="false" customHeight="false" outlineLevel="0" collapsed="false">
      <c r="N53" s="109"/>
    </row>
    <row r="54" customFormat="false" ht="15" hidden="false" customHeight="false" outlineLevel="0" collapsed="false">
      <c r="N54" s="109"/>
    </row>
    <row r="55" customFormat="false" ht="15" hidden="false" customHeight="false" outlineLevel="0" collapsed="false">
      <c r="N55" s="109"/>
    </row>
    <row r="56" customFormat="false" ht="15" hidden="false" customHeight="false" outlineLevel="0" collapsed="false">
      <c r="N56" s="109"/>
    </row>
    <row r="57" customFormat="false" ht="15" hidden="false" customHeight="false" outlineLevel="0" collapsed="false">
      <c r="N57" s="109"/>
    </row>
    <row r="58" customFormat="false" ht="15" hidden="false" customHeight="false" outlineLevel="0" collapsed="false">
      <c r="N58" s="109"/>
    </row>
    <row r="59" customFormat="false" ht="15" hidden="false" customHeight="false" outlineLevel="0" collapsed="false">
      <c r="N59" s="109"/>
    </row>
    <row r="60" customFormat="false" ht="15" hidden="false" customHeight="false" outlineLevel="0" collapsed="false">
      <c r="N60" s="109"/>
    </row>
    <row r="61" customFormat="false" ht="15" hidden="false" customHeight="false" outlineLevel="0" collapsed="false">
      <c r="N61" s="110"/>
    </row>
  </sheetData>
  <conditionalFormatting sqref="N2:S6">
    <cfRule type="expression" priority="2" aboveAverage="0" equalAverage="0" bottom="0" percent="0" rank="0" text="" dxfId="80">
      <formula>$N2="agent"</formula>
    </cfRule>
  </conditionalFormatting>
  <conditionalFormatting sqref="S2">
    <cfRule type="expression" priority="3" aboveAverage="0" equalAverage="0" bottom="0" percent="0" rank="0" text="" dxfId="81">
      <formula>$N3="agent"</formula>
    </cfRule>
  </conditionalFormatting>
  <conditionalFormatting sqref="A1:S1 T1:XFD3 O7:S49 N50:S105">
    <cfRule type="expression" priority="4" aboveAverage="0" equalAverage="0" bottom="0" percent="0" rank="0" text="" dxfId="82">
      <formula>$N1="agent"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A5" activeCellId="0" sqref="AA5"/>
    </sheetView>
  </sheetViews>
  <sheetFormatPr defaultColWidth="8.57421875" defaultRowHeight="15" zeroHeight="false" outlineLevelRow="0" outlineLevelCol="0"/>
  <cols>
    <col collapsed="false" customWidth="true" hidden="false" outlineLevel="0" max="1" min="1" style="0" width="3.14"/>
    <col collapsed="false" customWidth="true" hidden="false" outlineLevel="0" max="2" min="2" style="0" width="18.14"/>
    <col collapsed="false" customWidth="true" hidden="false" outlineLevel="0" max="3" min="3" style="0" width="9"/>
    <col collapsed="false" customWidth="true" hidden="false" outlineLevel="0" max="4" min="4" style="0" width="13.43"/>
    <col collapsed="false" customWidth="true" hidden="false" outlineLevel="0" max="5" min="5" style="0" width="24"/>
    <col collapsed="false" customWidth="true" hidden="false" outlineLevel="0" max="6" min="6" style="0" width="21.14"/>
    <col collapsed="false" customWidth="true" hidden="false" outlineLevel="0" max="7" min="7" style="0" width="26.14"/>
    <col collapsed="false" customWidth="true" hidden="false" outlineLevel="0" max="8" min="8" style="0" width="11.43"/>
    <col collapsed="false" customWidth="true" hidden="false" outlineLevel="0" max="18" min="18" style="0" width="17"/>
    <col collapsed="false" customWidth="true" hidden="false" outlineLevel="0" max="19" min="19" style="0" width="68.43"/>
    <col collapsed="false" customWidth="true" hidden="false" outlineLevel="0" max="20" min="20" style="0" width="18"/>
    <col collapsed="false" customWidth="true" hidden="false" outlineLevel="0" max="21" min="21" style="0" width="7.71"/>
    <col collapsed="false" customWidth="true" hidden="false" outlineLevel="0" max="22" min="22" style="0" width="4.57"/>
    <col collapsed="false" customWidth="true" hidden="false" outlineLevel="0" max="23" min="23" style="0" width="10.71"/>
    <col collapsed="false" customWidth="true" hidden="false" outlineLevel="0" max="24" min="24" style="0" width="26.86"/>
    <col collapsed="false" customWidth="true" hidden="false" outlineLevel="0" max="25" min="25" style="0" width="28.86"/>
    <col collapsed="false" customWidth="true" hidden="false" outlineLevel="0" max="26" min="26" style="59" width="7"/>
  </cols>
  <sheetData>
    <row r="1" customFormat="false" ht="15" hidden="false" customHeight="false" outlineLevel="0" collapsed="false">
      <c r="A1" s="60" t="s">
        <v>977</v>
      </c>
      <c r="B1" s="61"/>
      <c r="C1" s="61"/>
      <c r="D1" s="61"/>
      <c r="E1" s="61"/>
    </row>
    <row r="2" s="63" customFormat="true" ht="15" hidden="false" customHeight="false" outlineLevel="0" collapsed="false">
      <c r="A2" s="63" t="s">
        <v>238</v>
      </c>
      <c r="B2" s="63" t="s">
        <v>239</v>
      </c>
      <c r="C2" s="63" t="s">
        <v>240</v>
      </c>
      <c r="D2" s="63" t="s">
        <v>241</v>
      </c>
      <c r="E2" s="63" t="s">
        <v>242</v>
      </c>
      <c r="F2" s="63" t="s">
        <v>243</v>
      </c>
      <c r="G2" s="63" t="s">
        <v>244</v>
      </c>
      <c r="H2" s="63" t="s">
        <v>245</v>
      </c>
      <c r="I2" s="63" t="s">
        <v>246</v>
      </c>
      <c r="J2" s="63" t="s">
        <v>247</v>
      </c>
      <c r="K2" s="63" t="s">
        <v>248</v>
      </c>
      <c r="L2" s="63" t="s">
        <v>249</v>
      </c>
      <c r="M2" s="63" t="s">
        <v>250</v>
      </c>
      <c r="N2" s="63" t="s">
        <v>251</v>
      </c>
      <c r="O2" s="63" t="s">
        <v>252</v>
      </c>
      <c r="P2" s="63" t="s">
        <v>253</v>
      </c>
      <c r="Q2" s="63" t="s">
        <v>254</v>
      </c>
      <c r="R2" s="63" t="s">
        <v>255</v>
      </c>
      <c r="S2" s="64" t="s">
        <v>256</v>
      </c>
      <c r="T2" s="63" t="s">
        <v>257</v>
      </c>
      <c r="U2" s="63" t="s">
        <v>258</v>
      </c>
      <c r="V2" s="63" t="s">
        <v>259</v>
      </c>
      <c r="W2" s="63" t="s">
        <v>260</v>
      </c>
      <c r="X2" s="63" t="s">
        <v>261</v>
      </c>
      <c r="Y2" s="63" t="s">
        <v>262</v>
      </c>
      <c r="Z2" s="64" t="s">
        <v>263</v>
      </c>
      <c r="AA2" s="63" t="s">
        <v>264</v>
      </c>
    </row>
    <row r="3" customFormat="false" ht="23.85" hidden="false" customHeight="false" outlineLevel="0" collapsed="false">
      <c r="A3" s="124" t="n">
        <v>1</v>
      </c>
      <c r="B3" s="124" t="s">
        <v>328</v>
      </c>
      <c r="C3" s="124" t="n">
        <v>4</v>
      </c>
      <c r="D3" s="124" t="s">
        <v>266</v>
      </c>
      <c r="E3" s="124" t="n">
        <v>1359551649</v>
      </c>
      <c r="F3" s="124" t="s">
        <v>329</v>
      </c>
      <c r="G3" s="124" t="s">
        <v>328</v>
      </c>
      <c r="H3" s="124" t="n">
        <v>3</v>
      </c>
      <c r="I3" s="124" t="n">
        <v>5</v>
      </c>
      <c r="J3" s="124" t="n">
        <v>3</v>
      </c>
      <c r="K3" s="124" t="n">
        <v>3</v>
      </c>
      <c r="L3" s="124" t="n">
        <v>4</v>
      </c>
      <c r="M3" s="124" t="n">
        <v>4</v>
      </c>
      <c r="N3" s="124" t="n">
        <v>4</v>
      </c>
      <c r="O3" s="124" t="n">
        <v>4</v>
      </c>
      <c r="P3" s="124" t="n">
        <v>3</v>
      </c>
      <c r="Q3" s="124" t="n">
        <v>5</v>
      </c>
      <c r="R3" s="124" t="n">
        <v>4</v>
      </c>
      <c r="S3" s="124" t="s">
        <v>330</v>
      </c>
      <c r="T3" s="124" t="n">
        <v>4</v>
      </c>
      <c r="U3" s="124" t="n">
        <v>3</v>
      </c>
      <c r="V3" s="124" t="n">
        <v>21</v>
      </c>
      <c r="W3" s="124" t="s">
        <v>331</v>
      </c>
      <c r="X3" s="124" t="s">
        <v>332</v>
      </c>
      <c r="Y3" s="124" t="s">
        <v>333</v>
      </c>
      <c r="Z3" s="124" t="s">
        <v>334</v>
      </c>
      <c r="AA3" s="124" t="s">
        <v>273</v>
      </c>
    </row>
    <row r="4" customFormat="false" ht="23.85" hidden="false" customHeight="false" outlineLevel="0" collapsed="false">
      <c r="A4" s="124" t="n">
        <v>2</v>
      </c>
      <c r="B4" s="124" t="s">
        <v>335</v>
      </c>
      <c r="C4" s="124" t="n">
        <v>4</v>
      </c>
      <c r="D4" s="124" t="s">
        <v>275</v>
      </c>
      <c r="E4" s="124" t="n">
        <v>1453328173</v>
      </c>
      <c r="F4" s="124" t="s">
        <v>336</v>
      </c>
      <c r="G4" s="124" t="s">
        <v>335</v>
      </c>
      <c r="H4" s="124" t="n">
        <v>5</v>
      </c>
      <c r="I4" s="124" t="n">
        <v>5</v>
      </c>
      <c r="J4" s="124" t="n">
        <v>5</v>
      </c>
      <c r="K4" s="124" t="n">
        <v>5</v>
      </c>
      <c r="L4" s="124" t="n">
        <v>5</v>
      </c>
      <c r="M4" s="124" t="n">
        <v>5</v>
      </c>
      <c r="N4" s="124" t="n">
        <v>5</v>
      </c>
      <c r="O4" s="124" t="n">
        <v>5</v>
      </c>
      <c r="P4" s="124" t="n">
        <v>5</v>
      </c>
      <c r="Q4" s="124" t="n">
        <v>5</v>
      </c>
      <c r="R4" s="124" t="n">
        <v>5</v>
      </c>
      <c r="S4" s="124" t="s">
        <v>337</v>
      </c>
      <c r="T4" s="124" t="n">
        <v>4</v>
      </c>
      <c r="U4" s="124" t="n">
        <v>5</v>
      </c>
      <c r="V4" s="124" t="n">
        <v>23</v>
      </c>
      <c r="W4" s="124" t="s">
        <v>338</v>
      </c>
      <c r="X4" s="124" t="s">
        <v>339</v>
      </c>
      <c r="Y4" s="124" t="s">
        <v>290</v>
      </c>
      <c r="Z4" s="124" t="n">
        <v>3</v>
      </c>
      <c r="AA4" s="124" t="s">
        <v>273</v>
      </c>
    </row>
    <row r="5" customFormat="false" ht="23.85" hidden="false" customHeight="false" outlineLevel="0" collapsed="false">
      <c r="A5" s="124" t="n">
        <v>3</v>
      </c>
      <c r="B5" s="124" t="s">
        <v>340</v>
      </c>
      <c r="C5" s="124" t="n">
        <v>4</v>
      </c>
      <c r="D5" s="124" t="s">
        <v>275</v>
      </c>
      <c r="E5" s="124" t="n">
        <v>1036014866</v>
      </c>
      <c r="F5" s="124" t="s">
        <v>341</v>
      </c>
      <c r="G5" s="124" t="s">
        <v>340</v>
      </c>
      <c r="H5" s="124" t="n">
        <v>5</v>
      </c>
      <c r="I5" s="124" t="n">
        <v>4</v>
      </c>
      <c r="J5" s="124" t="n">
        <v>4</v>
      </c>
      <c r="K5" s="124" t="n">
        <v>4</v>
      </c>
      <c r="L5" s="124" t="n">
        <v>5</v>
      </c>
      <c r="M5" s="124" t="n">
        <v>5</v>
      </c>
      <c r="N5" s="124" t="n">
        <v>4</v>
      </c>
      <c r="O5" s="124" t="n">
        <v>5</v>
      </c>
      <c r="P5" s="124" t="n">
        <v>5</v>
      </c>
      <c r="Q5" s="124" t="n">
        <v>3</v>
      </c>
      <c r="R5" s="124" t="n">
        <v>5</v>
      </c>
      <c r="S5" s="124" t="s">
        <v>342</v>
      </c>
      <c r="T5" s="124" t="n">
        <v>4</v>
      </c>
      <c r="U5" s="124" t="n">
        <v>3</v>
      </c>
      <c r="V5" s="124" t="n">
        <v>43</v>
      </c>
      <c r="W5" s="124" t="s">
        <v>307</v>
      </c>
      <c r="X5" s="124" t="s">
        <v>343</v>
      </c>
      <c r="Y5" s="124" t="s">
        <v>344</v>
      </c>
      <c r="Z5" s="124" t="n">
        <v>2</v>
      </c>
      <c r="AA5" s="124" t="s">
        <v>273</v>
      </c>
    </row>
    <row r="6" customFormat="false" ht="15" hidden="false" customHeight="false" outlineLevel="0" collapsed="false">
      <c r="S6" s="59"/>
    </row>
    <row r="7" customFormat="false" ht="15" hidden="false" customHeight="false" outlineLevel="0" collapsed="false">
      <c r="G7" s="66"/>
      <c r="H7" s="67" t="s">
        <v>345</v>
      </c>
      <c r="I7" s="67" t="s">
        <v>346</v>
      </c>
      <c r="J7" s="67" t="s">
        <v>347</v>
      </c>
      <c r="K7" s="67" t="s">
        <v>348</v>
      </c>
      <c r="L7" s="67" t="s">
        <v>349</v>
      </c>
      <c r="M7" s="67" t="s">
        <v>350</v>
      </c>
      <c r="N7" s="67" t="s">
        <v>351</v>
      </c>
      <c r="O7" s="67" t="s">
        <v>352</v>
      </c>
      <c r="P7" s="67" t="s">
        <v>353</v>
      </c>
      <c r="Q7" s="67" t="s">
        <v>354</v>
      </c>
      <c r="R7" s="67" t="s">
        <v>355</v>
      </c>
      <c r="S7" s="67" t="s">
        <v>356</v>
      </c>
      <c r="T7" s="67" t="s">
        <v>357</v>
      </c>
    </row>
    <row r="8" customFormat="false" ht="15" hidden="false" customHeight="false" outlineLevel="0" collapsed="false">
      <c r="G8" s="66" t="s">
        <v>978</v>
      </c>
      <c r="H8" s="66" t="n">
        <f aca="false">COUNTIF(H3:H5, 5)</f>
        <v>2</v>
      </c>
      <c r="I8" s="66" t="n">
        <f aca="false">COUNTIF(I3:I5, 5)</f>
        <v>2</v>
      </c>
      <c r="J8" s="66" t="n">
        <f aca="false">COUNTIF(J3:J5, 5)</f>
        <v>1</v>
      </c>
      <c r="K8" s="66" t="n">
        <f aca="false">COUNTIF(K3:K5, 5)</f>
        <v>1</v>
      </c>
      <c r="L8" s="66" t="n">
        <f aca="false">COUNTIF(L3:L5, 5)</f>
        <v>2</v>
      </c>
      <c r="M8" s="66" t="n">
        <f aca="false">COUNTIF(M3:M5, 5)</f>
        <v>2</v>
      </c>
      <c r="N8" s="66" t="n">
        <f aca="false">COUNTIF(N3:N5, 5)</f>
        <v>1</v>
      </c>
      <c r="O8" s="66" t="n">
        <f aca="false">COUNTIF(O3:O5, 5)</f>
        <v>2</v>
      </c>
      <c r="P8" s="66" t="n">
        <f aca="false">COUNTIF(P3:P5, 5)</f>
        <v>2</v>
      </c>
      <c r="Q8" s="66" t="n">
        <f aca="false">COUNTIF(Q3:Q5, 5)</f>
        <v>2</v>
      </c>
      <c r="R8" s="66" t="n">
        <f aca="false">COUNTIF(R3:R5, 5)</f>
        <v>2</v>
      </c>
      <c r="S8" s="66" t="n">
        <f aca="false">COUNTIF(T3:T5, 5)</f>
        <v>0</v>
      </c>
      <c r="T8" s="66" t="n">
        <f aca="false">COUNTIF(U3:U5, 5)</f>
        <v>1</v>
      </c>
    </row>
    <row r="9" customFormat="false" ht="15" hidden="false" customHeight="false" outlineLevel="0" collapsed="false">
      <c r="G9" s="66" t="s">
        <v>979</v>
      </c>
      <c r="H9" s="66" t="n">
        <f aca="false">COUNTIF(H3:H5, 4)</f>
        <v>0</v>
      </c>
      <c r="I9" s="66" t="n">
        <f aca="false">COUNTIF(I3:I5, 4)</f>
        <v>1</v>
      </c>
      <c r="J9" s="66" t="n">
        <f aca="false">COUNTIF(J3:J5, 4)</f>
        <v>1</v>
      </c>
      <c r="K9" s="66" t="n">
        <f aca="false">COUNTIF(K3:K5, 4)</f>
        <v>1</v>
      </c>
      <c r="L9" s="66" t="n">
        <f aca="false">COUNTIF(L3:L5, 4)</f>
        <v>1</v>
      </c>
      <c r="M9" s="66" t="n">
        <f aca="false">COUNTIF(M3:M5, 4)</f>
        <v>1</v>
      </c>
      <c r="N9" s="66" t="n">
        <f aca="false">COUNTIF(N3:N5, 4)</f>
        <v>2</v>
      </c>
      <c r="O9" s="66" t="n">
        <f aca="false">COUNTIF(O3:O5, 4)</f>
        <v>1</v>
      </c>
      <c r="P9" s="66" t="n">
        <f aca="false">COUNTIF(P3:P5, 4)</f>
        <v>0</v>
      </c>
      <c r="Q9" s="66" t="n">
        <f aca="false">COUNTIF(Q3:Q5, 4)</f>
        <v>0</v>
      </c>
      <c r="R9" s="66" t="n">
        <f aca="false">COUNTIF(R3:R5, 4)</f>
        <v>1</v>
      </c>
      <c r="S9" s="66" t="n">
        <f aca="false">COUNTIF(T3:T5, 4)</f>
        <v>3</v>
      </c>
      <c r="T9" s="66" t="n">
        <f aca="false">COUNTIF(U3:U5, 4)</f>
        <v>0</v>
      </c>
    </row>
    <row r="10" customFormat="false" ht="15" hidden="false" customHeight="false" outlineLevel="0" collapsed="false">
      <c r="G10" s="66" t="s">
        <v>980</v>
      </c>
      <c r="H10" s="66" t="n">
        <f aca="false">COUNTIF(H3:H5, 3)</f>
        <v>1</v>
      </c>
      <c r="I10" s="66" t="n">
        <f aca="false">COUNTIF(I3:I5, 3)</f>
        <v>0</v>
      </c>
      <c r="J10" s="66" t="n">
        <f aca="false">COUNTIF(J3:J5, 3)</f>
        <v>1</v>
      </c>
      <c r="K10" s="66" t="n">
        <f aca="false">COUNTIF(K3:K5, 3)</f>
        <v>1</v>
      </c>
      <c r="L10" s="66" t="n">
        <f aca="false">COUNTIF(L3:L5, 3)</f>
        <v>0</v>
      </c>
      <c r="M10" s="66" t="n">
        <f aca="false">COUNTIF(M3:M5, 3)</f>
        <v>0</v>
      </c>
      <c r="N10" s="66" t="n">
        <f aca="false">COUNTIF(N3:N5, 3)</f>
        <v>0</v>
      </c>
      <c r="O10" s="66" t="n">
        <f aca="false">COUNTIF(O3:O5, 3)</f>
        <v>0</v>
      </c>
      <c r="P10" s="66" t="n">
        <f aca="false">COUNTIF(P3:P5, 3)</f>
        <v>1</v>
      </c>
      <c r="Q10" s="66" t="n">
        <f aca="false">COUNTIF(Q3:Q5, 3)</f>
        <v>1</v>
      </c>
      <c r="R10" s="66" t="n">
        <f aca="false">COUNTIF(R3:R5, 3)</f>
        <v>0</v>
      </c>
      <c r="S10" s="66" t="n">
        <f aca="false">COUNTIF(T3:T5, 3)</f>
        <v>0</v>
      </c>
      <c r="T10" s="66" t="n">
        <f aca="false">COUNTIF(U3:U5, 3)</f>
        <v>2</v>
      </c>
    </row>
    <row r="11" customFormat="false" ht="15" hidden="false" customHeight="false" outlineLevel="0" collapsed="false">
      <c r="G11" s="66" t="s">
        <v>981</v>
      </c>
      <c r="H11" s="66" t="n">
        <f aca="false">COUNTIF(H3:H5, 2)</f>
        <v>0</v>
      </c>
      <c r="I11" s="66" t="n">
        <f aca="false">COUNTIF(I3:I5, 2)</f>
        <v>0</v>
      </c>
      <c r="J11" s="66" t="n">
        <f aca="false">COUNTIF(J3:J5, 2)</f>
        <v>0</v>
      </c>
      <c r="K11" s="66" t="n">
        <f aca="false">COUNTIF(K3:K5, 2)</f>
        <v>0</v>
      </c>
      <c r="L11" s="66" t="n">
        <f aca="false">COUNTIF(L3:L5, 2)</f>
        <v>0</v>
      </c>
      <c r="M11" s="66" t="n">
        <f aca="false">COUNTIF(M3:M5, 2)</f>
        <v>0</v>
      </c>
      <c r="N11" s="66" t="n">
        <f aca="false">COUNTIF(N3:N5, 2)</f>
        <v>0</v>
      </c>
      <c r="O11" s="66" t="n">
        <f aca="false">COUNTIF(O3:O5, 2)</f>
        <v>0</v>
      </c>
      <c r="P11" s="66" t="n">
        <f aca="false">COUNTIF(P3:P5, 2)</f>
        <v>0</v>
      </c>
      <c r="Q11" s="66" t="n">
        <f aca="false">COUNTIF(Q3:Q5, 2)</f>
        <v>0</v>
      </c>
      <c r="R11" s="66" t="n">
        <f aca="false">COUNTIF(R3:R5, 2)</f>
        <v>0</v>
      </c>
      <c r="S11" s="66" t="n">
        <f aca="false">COUNTIF(T3:T5, 2)</f>
        <v>0</v>
      </c>
      <c r="T11" s="66" t="n">
        <f aca="false">COUNTIF(U3:U5, 2)</f>
        <v>0</v>
      </c>
    </row>
    <row r="12" customFormat="false" ht="15" hidden="false" customHeight="false" outlineLevel="0" collapsed="false">
      <c r="G12" s="66" t="s">
        <v>982</v>
      </c>
      <c r="H12" s="66" t="n">
        <f aca="false">COUNTIF(H3:H5, 1)</f>
        <v>0</v>
      </c>
      <c r="I12" s="66" t="n">
        <f aca="false">COUNTIF(I3:I5, 1)</f>
        <v>0</v>
      </c>
      <c r="J12" s="66" t="n">
        <f aca="false">COUNTIF(J3:J5, 1)</f>
        <v>0</v>
      </c>
      <c r="K12" s="66" t="n">
        <f aca="false">COUNTIF(K3:K5, 1)</f>
        <v>0</v>
      </c>
      <c r="L12" s="66" t="n">
        <f aca="false">COUNTIF(L3:L5, 1)</f>
        <v>0</v>
      </c>
      <c r="M12" s="66" t="n">
        <f aca="false">COUNTIF(M3:M5, 1)</f>
        <v>0</v>
      </c>
      <c r="N12" s="66" t="n">
        <f aca="false">COUNTIF(N3:N5, 1)</f>
        <v>0</v>
      </c>
      <c r="O12" s="66" t="n">
        <f aca="false">COUNTIF(O3:O5, 1)</f>
        <v>0</v>
      </c>
      <c r="P12" s="66" t="n">
        <f aca="false">COUNTIF(P3:P5, 1)</f>
        <v>0</v>
      </c>
      <c r="Q12" s="66" t="n">
        <f aca="false">COUNTIF(Q3:Q5, 1)</f>
        <v>0</v>
      </c>
      <c r="R12" s="66" t="n">
        <f aca="false">COUNTIF(R3:R5, 1)</f>
        <v>0</v>
      </c>
      <c r="S12" s="66" t="n">
        <f aca="false">COUNTIF(T3:T5, 1)</f>
        <v>0</v>
      </c>
      <c r="T12" s="66" t="n">
        <f aca="false">COUNTIF(U3:U5, 1)</f>
        <v>0</v>
      </c>
    </row>
    <row r="13" customFormat="false" ht="15" hidden="false" customHeight="false" outlineLevel="0" collapsed="false">
      <c r="G13" s="66"/>
      <c r="H13" s="66"/>
      <c r="I13" s="66"/>
      <c r="J13" s="66"/>
      <c r="K13" s="66"/>
      <c r="L13" s="66"/>
      <c r="M13" s="66"/>
      <c r="N13" s="66"/>
      <c r="O13" s="66"/>
      <c r="P13" s="66"/>
      <c r="Q13" s="66"/>
      <c r="R13" s="66"/>
    </row>
    <row r="15" customFormat="false" ht="15" hidden="false" customHeight="false" outlineLevel="0" collapsed="false">
      <c r="A15" s="63" t="s">
        <v>368</v>
      </c>
    </row>
    <row r="16" customFormat="false" ht="15" hidden="false" customHeight="false" outlineLevel="0" collapsed="false">
      <c r="A16" s="63" t="s">
        <v>369</v>
      </c>
    </row>
    <row r="17" customFormat="false" ht="15" hidden="false" customHeight="false" outlineLevel="0" collapsed="false">
      <c r="A17" s="63" t="s">
        <v>370</v>
      </c>
    </row>
    <row r="18" customFormat="false" ht="15" hidden="false" customHeight="false" outlineLevel="0" collapsed="false">
      <c r="A18" s="63" t="s">
        <v>371</v>
      </c>
    </row>
    <row r="19" customFormat="false" ht="15" hidden="false" customHeight="false" outlineLevel="0" collapsed="false">
      <c r="A19" s="63" t="s">
        <v>372</v>
      </c>
    </row>
    <row r="20" customFormat="false" ht="15" hidden="false" customHeight="false" outlineLevel="0" collapsed="false">
      <c r="A20" s="63" t="s">
        <v>373</v>
      </c>
    </row>
    <row r="21" customFormat="false" ht="15" hidden="false" customHeight="false" outlineLevel="0" collapsed="false">
      <c r="A21" s="63" t="s">
        <v>374</v>
      </c>
    </row>
    <row r="22" customFormat="false" ht="15" hidden="false" customHeight="false" outlineLevel="0" collapsed="false">
      <c r="A22" s="63" t="s">
        <v>375</v>
      </c>
    </row>
    <row r="23" customFormat="false" ht="15" hidden="false" customHeight="false" outlineLevel="0" collapsed="false">
      <c r="A23" s="63" t="s">
        <v>376</v>
      </c>
    </row>
    <row r="24" customFormat="false" ht="15" hidden="false" customHeight="false" outlineLevel="0" collapsed="false">
      <c r="A24" s="63" t="s">
        <v>377</v>
      </c>
    </row>
    <row r="25" customFormat="false" ht="15" hidden="false" customHeight="false" outlineLevel="0" collapsed="false">
      <c r="A25" s="63" t="s">
        <v>378</v>
      </c>
    </row>
    <row r="26" customFormat="false" ht="15" hidden="false" customHeight="false" outlineLevel="0" collapsed="false">
      <c r="A26" s="63"/>
    </row>
    <row r="27" customFormat="false" ht="15" hidden="false" customHeight="false" outlineLevel="0" collapsed="false">
      <c r="A27" s="63" t="s">
        <v>379</v>
      </c>
    </row>
    <row r="28" customFormat="false" ht="15" hidden="false" customHeight="false" outlineLevel="0" collapsed="false">
      <c r="A28" s="63" t="s">
        <v>380</v>
      </c>
    </row>
    <row r="29" customFormat="false" ht="15" hidden="false" customHeight="false" outlineLevel="0" collapsed="false">
      <c r="A29" s="63" t="s">
        <v>381</v>
      </c>
    </row>
    <row r="30" customFormat="false" ht="15" hidden="false" customHeight="false" outlineLevel="0" collapsed="false">
      <c r="A30" s="63" t="s">
        <v>382</v>
      </c>
    </row>
    <row r="31" customFormat="false" ht="15" hidden="false" customHeight="false" outlineLevel="0" collapsed="false">
      <c r="A31" s="63" t="s">
        <v>383</v>
      </c>
    </row>
    <row r="32" customFormat="false" ht="15" hidden="false" customHeight="false" outlineLevel="0" collapsed="false">
      <c r="A32" s="63" t="s">
        <v>384</v>
      </c>
    </row>
    <row r="33" customFormat="false" ht="15" hidden="false" customHeight="false" outlineLevel="0" collapsed="false">
      <c r="A33" s="63" t="s">
        <v>385</v>
      </c>
    </row>
    <row r="34" customFormat="false" ht="15" hidden="false" customHeight="false" outlineLevel="0" collapsed="false">
      <c r="A34" s="63" t="s">
        <v>386</v>
      </c>
    </row>
    <row r="35" customFormat="false" ht="15" hidden="false" customHeight="false" outlineLevel="0" collapsed="false">
      <c r="A35" s="63" t="s">
        <v>387</v>
      </c>
    </row>
    <row r="36" customFormat="false" ht="15" hidden="false" customHeight="false" outlineLevel="0" collapsed="false">
      <c r="A36" s="63" t="s">
        <v>388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5"/>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pane xSplit="0" ySplit="1" topLeftCell="A2" activePane="bottomLeft" state="frozen"/>
      <selection pane="topLeft" activeCell="K1" activeCellId="0" sqref="K1"/>
      <selection pane="bottomLeft" activeCell="Q10" activeCellId="0" sqref="Q10"/>
    </sheetView>
  </sheetViews>
  <sheetFormatPr defaultColWidth="9.14453125" defaultRowHeight="15" zeroHeight="false" outlineLevelRow="0" outlineLevelCol="0"/>
  <cols>
    <col collapsed="false" customWidth="false" hidden="false" outlineLevel="0" max="1" min="1" style="81" width="9.14"/>
    <col collapsed="false" customWidth="true" hidden="false" outlineLevel="0" max="2" min="2" style="82" width="14.86"/>
    <col collapsed="false" customWidth="true" hidden="false" outlineLevel="0" max="3" min="3" style="81" width="16.14"/>
    <col collapsed="false" customWidth="true" hidden="false" outlineLevel="0" max="4" min="4" style="81" width="9.29"/>
    <col collapsed="false" customWidth="true" hidden="false" outlineLevel="0" max="5" min="5" style="82" width="19.43"/>
    <col collapsed="false" customWidth="true" hidden="false" outlineLevel="0" max="6" min="6" style="81" width="11.86"/>
    <col collapsed="false" customWidth="true" hidden="false" outlineLevel="0" max="8" min="7" style="81" width="13.14"/>
    <col collapsed="false" customWidth="true" hidden="false" outlineLevel="0" max="9" min="9" style="81" width="19.57"/>
    <col collapsed="false" customWidth="true" hidden="false" outlineLevel="0" max="10" min="10" style="82" width="22.14"/>
    <col collapsed="false" customWidth="true" hidden="false" outlineLevel="0" max="11" min="11" style="81" width="16.14"/>
    <col collapsed="false" customWidth="true" hidden="false" outlineLevel="0" max="12" min="12" style="82" width="11.71"/>
    <col collapsed="false" customWidth="true" hidden="false" outlineLevel="0" max="13" min="13" style="82" width="12.71"/>
    <col collapsed="false" customWidth="true" hidden="false" outlineLevel="0" max="14" min="14" style="81" width="8"/>
    <col collapsed="false" customWidth="true" hidden="false" outlineLevel="0" max="15" min="15" style="81" width="5.57"/>
    <col collapsed="false" customWidth="true" hidden="false" outlineLevel="0" max="16" min="16" style="81" width="7.86"/>
    <col collapsed="false" customWidth="true" hidden="false" outlineLevel="0" max="17" min="17" style="81" width="9"/>
    <col collapsed="false" customWidth="true" hidden="false" outlineLevel="0" max="18" min="18" style="81" width="17.86"/>
    <col collapsed="false" customWidth="true" hidden="false" outlineLevel="0" max="19" min="19" style="109" width="18.14"/>
    <col collapsed="false" customWidth="true" hidden="false" outlineLevel="0" max="20" min="20" style="43" width="126.43"/>
    <col collapsed="false" customWidth="false" hidden="false" outlineLevel="0" max="16384" min="21" style="81" width="9.14"/>
  </cols>
  <sheetData>
    <row r="1" s="83" customFormat="true" ht="51.1" hidden="false" customHeight="false" outlineLevel="0" collapsed="false">
      <c r="B1" s="84" t="s">
        <v>501</v>
      </c>
      <c r="C1" s="84" t="s">
        <v>502</v>
      </c>
      <c r="D1" s="84" t="s">
        <v>503</v>
      </c>
      <c r="E1" s="84" t="s">
        <v>504</v>
      </c>
      <c r="F1" s="84" t="s">
        <v>505</v>
      </c>
      <c r="G1" s="84" t="s">
        <v>506</v>
      </c>
      <c r="H1" s="84" t="s">
        <v>507</v>
      </c>
      <c r="I1" s="84" t="s">
        <v>508</v>
      </c>
      <c r="J1" s="84" t="s">
        <v>509</v>
      </c>
      <c r="K1" s="84" t="s">
        <v>510</v>
      </c>
      <c r="L1" s="84" t="s">
        <v>511</v>
      </c>
      <c r="M1" s="84" t="s">
        <v>512</v>
      </c>
      <c r="N1" s="83" t="s">
        <v>513</v>
      </c>
      <c r="O1" s="83" t="s">
        <v>514</v>
      </c>
      <c r="P1" s="83" t="s">
        <v>515</v>
      </c>
      <c r="Q1" s="83" t="s">
        <v>389</v>
      </c>
      <c r="R1" s="83" t="s">
        <v>516</v>
      </c>
      <c r="S1" s="83" t="s">
        <v>517</v>
      </c>
      <c r="T1" s="85" t="s">
        <v>518</v>
      </c>
    </row>
    <row r="2" s="83" customFormat="true" ht="15" hidden="false" customHeight="false" outlineLevel="0" collapsed="false">
      <c r="A2" s="83" t="s">
        <v>519</v>
      </c>
      <c r="B2" s="86"/>
      <c r="C2" s="86" t="e">
        <f aca="false">COUNTIF(C7:C100,"y")/(COUNTIF(C7:C100,"y")+COUNTIF(C7:C100,"n"))</f>
        <v>#DIV/0!</v>
      </c>
      <c r="D2" s="86" t="e">
        <f aca="false">COUNTIF(D7:D100,"y")/(COUNTIF(D7:D100,"y")+COUNTIF(D7:D100,"n"))</f>
        <v>#DIV/0!</v>
      </c>
      <c r="E2" s="86"/>
      <c r="F2" s="86" t="e">
        <f aca="false">COUNTIF(F7:F100,"y")/(COUNTIF(F7:F100,"y")+COUNTIF(F7:F100,"n"))</f>
        <v>#DIV/0!</v>
      </c>
      <c r="G2" s="86" t="e">
        <f aca="false">COUNTIF(G7:G100,"y")/(COUNTIF(G7:G100,"y")+COUNTIF(G7:G100,"n"))</f>
        <v>#DIV/0!</v>
      </c>
      <c r="H2" s="86"/>
      <c r="I2" s="86" t="e">
        <f aca="false">COUNTIF(I7:I100,"y")/(COUNTIF(I7:I100,"y")+COUNTIF(I7:I100,"n"))</f>
        <v>#DIV/0!</v>
      </c>
      <c r="J2" s="86"/>
      <c r="K2" s="86" t="n">
        <f aca="false">COUNTIF(K7:K100,"1")</f>
        <v>0</v>
      </c>
      <c r="L2" s="86" t="e">
        <f aca="false">COUNTIF(L7:L100,"y")/(COUNTIF(L7:L100,"y")+COUNTIF(L7:L100,"n"))</f>
        <v>#DIV/0!</v>
      </c>
      <c r="M2" s="86"/>
      <c r="O2" s="87" t="n">
        <f aca="false" t="array" ref="O2:O2">LOOKUP(2,1/(O:O&lt;&gt;""),O:O)</f>
        <v>3</v>
      </c>
      <c r="S2" s="88" t="n">
        <f aca="false" t="array" ref="S2:S2">LOOKUP(2,1/(S:S&lt;&gt;""),S:S)-S7</f>
        <v>0</v>
      </c>
      <c r="T2" s="85"/>
    </row>
    <row r="3" s="83" customFormat="true" ht="15" hidden="false" customHeight="false" outlineLevel="0" collapsed="false">
      <c r="B3" s="89"/>
      <c r="C3" s="89"/>
      <c r="D3" s="89"/>
      <c r="E3" s="89"/>
      <c r="F3" s="89"/>
      <c r="G3" s="89"/>
      <c r="H3" s="89"/>
      <c r="I3" s="89"/>
      <c r="J3" s="89"/>
      <c r="K3" s="86" t="n">
        <f aca="false">COUNTIF(K7:K100,"2")</f>
        <v>0</v>
      </c>
      <c r="L3" s="89"/>
      <c r="M3" s="89"/>
      <c r="T3" s="85"/>
    </row>
    <row r="4" s="83" customFormat="true" ht="15" hidden="false" customHeight="false" outlineLevel="0" collapsed="false">
      <c r="B4" s="89"/>
      <c r="C4" s="89"/>
      <c r="D4" s="89"/>
      <c r="E4" s="89"/>
      <c r="F4" s="89"/>
      <c r="G4" s="89"/>
      <c r="H4" s="89"/>
      <c r="I4" s="89"/>
      <c r="J4" s="89"/>
      <c r="K4" s="86" t="n">
        <f aca="false">COUNTIF(K7:K100,"3")</f>
        <v>0</v>
      </c>
      <c r="L4" s="89"/>
      <c r="M4" s="89"/>
      <c r="T4" s="85"/>
    </row>
    <row r="5" s="83" customFormat="true" ht="15" hidden="false" customHeight="false" outlineLevel="0" collapsed="false">
      <c r="B5" s="89"/>
      <c r="C5" s="89"/>
      <c r="D5" s="89"/>
      <c r="E5" s="89"/>
      <c r="F5" s="89"/>
      <c r="G5" s="89"/>
      <c r="H5" s="89"/>
      <c r="I5" s="89"/>
      <c r="J5" s="89"/>
      <c r="K5" s="86" t="n">
        <f aca="false">COUNTIF(K7:K100,"4")</f>
        <v>0</v>
      </c>
      <c r="L5" s="89"/>
      <c r="M5" s="89"/>
      <c r="T5" s="85"/>
    </row>
    <row r="6" s="92" customFormat="true" ht="15" hidden="false" customHeight="false" outlineLevel="0" collapsed="false">
      <c r="B6" s="93"/>
      <c r="C6" s="93"/>
      <c r="D6" s="93"/>
      <c r="E6" s="93"/>
      <c r="F6" s="93"/>
      <c r="G6" s="93"/>
      <c r="H6" s="93"/>
      <c r="I6" s="93"/>
      <c r="J6" s="93"/>
      <c r="K6" s="94" t="n">
        <f aca="false">COUNTIF(K7:K100,"5")</f>
        <v>0</v>
      </c>
      <c r="L6" s="93"/>
      <c r="M6" s="93"/>
      <c r="T6" s="95"/>
    </row>
    <row r="7" s="96" customFormat="true" ht="15" hidden="false" customHeight="false" outlineLevel="0" collapsed="false">
      <c r="B7" s="97"/>
      <c r="E7" s="97"/>
      <c r="J7" s="97"/>
      <c r="L7" s="97"/>
      <c r="M7" s="97"/>
      <c r="N7" s="98"/>
      <c r="O7" s="96" t="n">
        <v>1</v>
      </c>
      <c r="S7" s="98" t="n">
        <v>0</v>
      </c>
      <c r="T7" s="125"/>
    </row>
    <row r="8" customFormat="false" ht="15" hidden="false" customHeight="false" outlineLevel="0" collapsed="false">
      <c r="N8" s="90"/>
      <c r="O8" s="81" t="n">
        <v>2</v>
      </c>
      <c r="S8" s="90" t="n">
        <v>0</v>
      </c>
    </row>
    <row r="9" customFormat="false" ht="15" hidden="false" customHeight="false" outlineLevel="0" collapsed="false">
      <c r="N9" s="90"/>
      <c r="O9" s="81" t="n">
        <v>3</v>
      </c>
      <c r="S9" s="90" t="n">
        <v>0</v>
      </c>
    </row>
    <row r="10" customFormat="false" ht="124.5" hidden="false" customHeight="true" outlineLevel="0" collapsed="false">
      <c r="N10" s="90"/>
      <c r="S10" s="90"/>
    </row>
    <row r="11" customFormat="false" ht="15" hidden="false" customHeight="false" outlineLevel="0" collapsed="false">
      <c r="N11" s="90"/>
      <c r="S11" s="90"/>
    </row>
    <row r="12" customFormat="false" ht="15" hidden="false" customHeight="false" outlineLevel="0" collapsed="false">
      <c r="N12" s="90"/>
      <c r="S12" s="90"/>
    </row>
    <row r="13" customFormat="false" ht="15" hidden="false" customHeight="false" outlineLevel="0" collapsed="false">
      <c r="N13" s="90"/>
      <c r="S13" s="90"/>
    </row>
    <row r="14" customFormat="false" ht="15" hidden="false" customHeight="false" outlineLevel="0" collapsed="false">
      <c r="N14" s="90"/>
      <c r="S14" s="90"/>
    </row>
    <row r="15" customFormat="false" ht="15" hidden="false" customHeight="false" outlineLevel="0" collapsed="false">
      <c r="N15" s="90"/>
      <c r="S15" s="90"/>
    </row>
    <row r="16" customFormat="false" ht="15" hidden="false" customHeight="false" outlineLevel="0" collapsed="false">
      <c r="N16" s="90"/>
      <c r="S16" s="90"/>
    </row>
    <row r="17" customFormat="false" ht="15" hidden="false" customHeight="false" outlineLevel="0" collapsed="false">
      <c r="N17" s="90"/>
      <c r="S17" s="90"/>
    </row>
    <row r="18" customFormat="false" ht="15" hidden="false" customHeight="false" outlineLevel="0" collapsed="false">
      <c r="N18" s="90"/>
      <c r="S18" s="90"/>
    </row>
    <row r="19" customFormat="false" ht="15" hidden="false" customHeight="false" outlineLevel="0" collapsed="false">
      <c r="N19" s="90"/>
      <c r="S19" s="90"/>
    </row>
    <row r="20" customFormat="false" ht="15" hidden="false" customHeight="false" outlineLevel="0" collapsed="false">
      <c r="N20" s="90"/>
      <c r="S20" s="90"/>
    </row>
    <row r="21" customFormat="false" ht="15" hidden="false" customHeight="false" outlineLevel="0" collapsed="false">
      <c r="N21" s="90"/>
      <c r="S21" s="90"/>
    </row>
    <row r="22" customFormat="false" ht="15" hidden="false" customHeight="false" outlineLevel="0" collapsed="false">
      <c r="N22" s="90"/>
      <c r="S22" s="90"/>
    </row>
    <row r="23" customFormat="false" ht="15" hidden="false" customHeight="false" outlineLevel="0" collapsed="false">
      <c r="N23" s="90"/>
      <c r="S23" s="90"/>
    </row>
    <row r="24" customFormat="false" ht="15" hidden="false" customHeight="false" outlineLevel="0" collapsed="false">
      <c r="N24" s="90"/>
      <c r="S24" s="90"/>
    </row>
    <row r="25" customFormat="false" ht="15" hidden="false" customHeight="false" outlineLevel="0" collapsed="false">
      <c r="N25" s="90"/>
      <c r="S25" s="90"/>
    </row>
    <row r="26" customFormat="false" ht="15" hidden="false" customHeight="false" outlineLevel="0" collapsed="false">
      <c r="N26" s="90"/>
      <c r="S26" s="90"/>
    </row>
    <row r="27" customFormat="false" ht="15" hidden="false" customHeight="false" outlineLevel="0" collapsed="false">
      <c r="N27" s="90"/>
      <c r="S27" s="90"/>
    </row>
    <row r="28" customFormat="false" ht="15" hidden="false" customHeight="false" outlineLevel="0" collapsed="false">
      <c r="N28" s="90"/>
      <c r="S28" s="90"/>
    </row>
    <row r="29" customFormat="false" ht="15" hidden="false" customHeight="false" outlineLevel="0" collapsed="false">
      <c r="N29" s="90"/>
      <c r="S29" s="90"/>
    </row>
    <row r="30" customFormat="false" ht="15" hidden="false" customHeight="false" outlineLevel="0" collapsed="false">
      <c r="N30" s="90"/>
      <c r="S30" s="90"/>
    </row>
    <row r="31" customFormat="false" ht="15" hidden="false" customHeight="false" outlineLevel="0" collapsed="false">
      <c r="N31" s="90"/>
      <c r="S31" s="90"/>
    </row>
    <row r="32" customFormat="false" ht="15" hidden="false" customHeight="false" outlineLevel="0" collapsed="false">
      <c r="N32" s="90"/>
      <c r="S32" s="90"/>
    </row>
    <row r="33" customFormat="false" ht="15" hidden="false" customHeight="false" outlineLevel="0" collapsed="false">
      <c r="N33" s="90"/>
      <c r="S33" s="90"/>
    </row>
    <row r="34" customFormat="false" ht="15" hidden="false" customHeight="false" outlineLevel="0" collapsed="false">
      <c r="N34" s="90"/>
      <c r="S34" s="90"/>
    </row>
    <row r="35" customFormat="false" ht="15" hidden="false" customHeight="false" outlineLevel="0" collapsed="false">
      <c r="N35" s="90"/>
      <c r="S35" s="90"/>
    </row>
    <row r="36" customFormat="false" ht="15" hidden="false" customHeight="false" outlineLevel="0" collapsed="false">
      <c r="N36" s="90"/>
      <c r="S36" s="90"/>
    </row>
    <row r="37" customFormat="false" ht="15" hidden="false" customHeight="false" outlineLevel="0" collapsed="false">
      <c r="N37" s="90"/>
      <c r="S37" s="90"/>
    </row>
    <row r="38" customFormat="false" ht="15" hidden="false" customHeight="false" outlineLevel="0" collapsed="false">
      <c r="N38" s="90"/>
      <c r="S38" s="90"/>
    </row>
    <row r="39" customFormat="false" ht="15" hidden="false" customHeight="false" outlineLevel="0" collapsed="false">
      <c r="N39" s="90"/>
      <c r="S39" s="90"/>
    </row>
    <row r="40" customFormat="false" ht="15" hidden="false" customHeight="false" outlineLevel="0" collapsed="false">
      <c r="N40" s="90"/>
      <c r="S40" s="90"/>
    </row>
    <row r="41" customFormat="false" ht="15" hidden="false" customHeight="false" outlineLevel="0" collapsed="false">
      <c r="N41" s="90"/>
      <c r="S41" s="90"/>
    </row>
    <row r="42" customFormat="false" ht="15" hidden="false" customHeight="false" outlineLevel="0" collapsed="false">
      <c r="N42" s="90"/>
      <c r="S42" s="90"/>
    </row>
    <row r="43" customFormat="false" ht="15" hidden="false" customHeight="false" outlineLevel="0" collapsed="false">
      <c r="N43" s="90"/>
      <c r="S43" s="90"/>
    </row>
    <row r="44" customFormat="false" ht="15" hidden="false" customHeight="false" outlineLevel="0" collapsed="false">
      <c r="N44" s="90"/>
      <c r="S44" s="90"/>
    </row>
    <row r="45" customFormat="false" ht="15" hidden="false" customHeight="false" outlineLevel="0" collapsed="false">
      <c r="N45" s="90"/>
      <c r="S45" s="90"/>
    </row>
    <row r="46" customFormat="false" ht="15" hidden="false" customHeight="false" outlineLevel="0" collapsed="false">
      <c r="N46" s="90"/>
      <c r="S46" s="90"/>
    </row>
    <row r="47" customFormat="false" ht="15" hidden="false" customHeight="false" outlineLevel="0" collapsed="false">
      <c r="N47" s="90"/>
      <c r="S47" s="90"/>
    </row>
    <row r="48" customFormat="false" ht="15" hidden="false" customHeight="false" outlineLevel="0" collapsed="false">
      <c r="N48" s="90"/>
      <c r="S48" s="90"/>
    </row>
    <row r="49" customFormat="false" ht="15" hidden="false" customHeight="false" outlineLevel="0" collapsed="false">
      <c r="N49" s="90"/>
      <c r="S49" s="90"/>
    </row>
    <row r="50" customFormat="false" ht="15" hidden="false" customHeight="false" outlineLevel="0" collapsed="false">
      <c r="N50" s="90"/>
      <c r="S50" s="90"/>
    </row>
    <row r="51" customFormat="false" ht="15" hidden="false" customHeight="false" outlineLevel="0" collapsed="false">
      <c r="N51" s="90"/>
      <c r="S51" s="90"/>
    </row>
    <row r="52" customFormat="false" ht="15" hidden="false" customHeight="false" outlineLevel="0" collapsed="false">
      <c r="N52" s="90"/>
      <c r="S52" s="90"/>
    </row>
    <row r="53" customFormat="false" ht="15" hidden="false" customHeight="false" outlineLevel="0" collapsed="false">
      <c r="N53" s="90"/>
      <c r="S53" s="90"/>
    </row>
    <row r="54" customFormat="false" ht="15" hidden="false" customHeight="false" outlineLevel="0" collapsed="false">
      <c r="N54" s="90"/>
      <c r="S54" s="90"/>
    </row>
    <row r="55" customFormat="false" ht="15" hidden="false" customHeight="false" outlineLevel="0" collapsed="false">
      <c r="N55" s="90"/>
      <c r="S55" s="90"/>
    </row>
    <row r="56" customFormat="false" ht="15" hidden="false" customHeight="false" outlineLevel="0" collapsed="false">
      <c r="N56" s="90"/>
      <c r="S56" s="90"/>
    </row>
    <row r="57" customFormat="false" ht="15" hidden="false" customHeight="false" outlineLevel="0" collapsed="false">
      <c r="N57" s="90"/>
      <c r="S57" s="90"/>
    </row>
    <row r="58" customFormat="false" ht="15" hidden="false" customHeight="false" outlineLevel="0" collapsed="false">
      <c r="N58" s="90"/>
      <c r="S58" s="90"/>
    </row>
    <row r="59" customFormat="false" ht="15" hidden="false" customHeight="false" outlineLevel="0" collapsed="false">
      <c r="N59" s="90"/>
      <c r="S59" s="90"/>
    </row>
    <row r="60" customFormat="false" ht="15" hidden="false" customHeight="false" outlineLevel="0" collapsed="false">
      <c r="N60" s="90"/>
      <c r="S60" s="90"/>
    </row>
    <row r="61" customFormat="false" ht="15" hidden="false" customHeight="false" outlineLevel="0" collapsed="false">
      <c r="N61" s="91"/>
      <c r="S61" s="90"/>
    </row>
    <row r="62" customFormat="false" ht="15" hidden="false" customHeight="false" outlineLevel="0" collapsed="false">
      <c r="S62" s="90"/>
    </row>
    <row r="63" customFormat="false" ht="15" hidden="false" customHeight="false" outlineLevel="0" collapsed="false">
      <c r="S63" s="90"/>
    </row>
    <row r="64" customFormat="false" ht="15" hidden="false" customHeight="false" outlineLevel="0" collapsed="false">
      <c r="S64" s="90"/>
    </row>
    <row r="65" customFormat="false" ht="15" hidden="false" customHeight="false" outlineLevel="0" collapsed="false">
      <c r="S65" s="90"/>
    </row>
    <row r="66" customFormat="false" ht="15" hidden="false" customHeight="false" outlineLevel="0" collapsed="false">
      <c r="S66" s="90"/>
    </row>
    <row r="67" customFormat="false" ht="15" hidden="false" customHeight="false" outlineLevel="0" collapsed="false">
      <c r="S67" s="90"/>
    </row>
    <row r="68" customFormat="false" ht="15" hidden="false" customHeight="false" outlineLevel="0" collapsed="false">
      <c r="S68" s="90"/>
    </row>
    <row r="69" customFormat="false" ht="15" hidden="false" customHeight="false" outlineLevel="0" collapsed="false">
      <c r="S69" s="90"/>
    </row>
    <row r="70" customFormat="false" ht="15" hidden="false" customHeight="false" outlineLevel="0" collapsed="false">
      <c r="S70" s="90"/>
    </row>
    <row r="71" customFormat="false" ht="15" hidden="false" customHeight="false" outlineLevel="0" collapsed="false">
      <c r="S71" s="90"/>
    </row>
    <row r="72" customFormat="false" ht="15" hidden="false" customHeight="false" outlineLevel="0" collapsed="false">
      <c r="S72" s="90"/>
    </row>
    <row r="73" customFormat="false" ht="15" hidden="false" customHeight="false" outlineLevel="0" collapsed="false">
      <c r="S73" s="90"/>
    </row>
    <row r="74" customFormat="false" ht="15" hidden="false" customHeight="false" outlineLevel="0" collapsed="false">
      <c r="S74" s="90"/>
    </row>
    <row r="75" customFormat="false" ht="15" hidden="false" customHeight="false" outlineLevel="0" collapsed="false">
      <c r="S75" s="90"/>
    </row>
    <row r="76" customFormat="false" ht="15" hidden="false" customHeight="false" outlineLevel="0" collapsed="false">
      <c r="S76" s="90"/>
    </row>
    <row r="77" customFormat="false" ht="15" hidden="false" customHeight="false" outlineLevel="0" collapsed="false">
      <c r="S77" s="90"/>
    </row>
    <row r="78" customFormat="false" ht="15" hidden="false" customHeight="false" outlineLevel="0" collapsed="false">
      <c r="S78" s="90"/>
    </row>
    <row r="79" customFormat="false" ht="15" hidden="false" customHeight="false" outlineLevel="0" collapsed="false">
      <c r="S79" s="90"/>
    </row>
    <row r="80" customFormat="false" ht="15" hidden="false" customHeight="false" outlineLevel="0" collapsed="false">
      <c r="S80" s="90"/>
    </row>
    <row r="81" customFormat="false" ht="15" hidden="false" customHeight="false" outlineLevel="0" collapsed="false">
      <c r="S81" s="90"/>
    </row>
    <row r="82" customFormat="false" ht="15" hidden="false" customHeight="false" outlineLevel="0" collapsed="false">
      <c r="S82" s="90"/>
    </row>
    <row r="83" customFormat="false" ht="15" hidden="false" customHeight="false" outlineLevel="0" collapsed="false">
      <c r="S83" s="90"/>
    </row>
    <row r="84" customFormat="false" ht="15" hidden="false" customHeight="false" outlineLevel="0" collapsed="false">
      <c r="S84" s="90"/>
    </row>
    <row r="85" customFormat="false" ht="15" hidden="false" customHeight="false" outlineLevel="0" collapsed="false">
      <c r="S85" s="90"/>
    </row>
    <row r="86" customFormat="false" ht="15" hidden="false" customHeight="false" outlineLevel="0" collapsed="false">
      <c r="S86" s="90"/>
    </row>
    <row r="87" customFormat="false" ht="15" hidden="false" customHeight="false" outlineLevel="0" collapsed="false">
      <c r="S87" s="90"/>
    </row>
    <row r="88" customFormat="false" ht="15" hidden="false" customHeight="false" outlineLevel="0" collapsed="false">
      <c r="S88" s="90"/>
    </row>
    <row r="89" customFormat="false" ht="15" hidden="false" customHeight="false" outlineLevel="0" collapsed="false">
      <c r="S89" s="90"/>
    </row>
    <row r="90" customFormat="false" ht="15" hidden="false" customHeight="false" outlineLevel="0" collapsed="false">
      <c r="S90" s="90"/>
    </row>
    <row r="91" customFormat="false" ht="15" hidden="false" customHeight="false" outlineLevel="0" collapsed="false">
      <c r="S91" s="90"/>
    </row>
    <row r="92" customFormat="false" ht="15" hidden="false" customHeight="false" outlineLevel="0" collapsed="false">
      <c r="S92" s="90"/>
    </row>
    <row r="93" customFormat="false" ht="15" hidden="false" customHeight="false" outlineLevel="0" collapsed="false">
      <c r="S93" s="90"/>
    </row>
    <row r="94" customFormat="false" ht="15" hidden="false" customHeight="false" outlineLevel="0" collapsed="false">
      <c r="S94" s="90"/>
    </row>
    <row r="95" customFormat="false" ht="15" hidden="false" customHeight="false" outlineLevel="0" collapsed="false">
      <c r="S95" s="90"/>
    </row>
    <row r="96" customFormat="false" ht="15" hidden="false" customHeight="false" outlineLevel="0" collapsed="false">
      <c r="S96" s="90"/>
    </row>
    <row r="97" customFormat="false" ht="15" hidden="false" customHeight="false" outlineLevel="0" collapsed="false">
      <c r="S97" s="90"/>
    </row>
    <row r="98" customFormat="false" ht="15" hidden="false" customHeight="false" outlineLevel="0" collapsed="false">
      <c r="S98" s="90"/>
    </row>
    <row r="99" customFormat="false" ht="15" hidden="false" customHeight="false" outlineLevel="0" collapsed="false">
      <c r="S99" s="90"/>
    </row>
    <row r="100" customFormat="false" ht="15" hidden="false" customHeight="false" outlineLevel="0" collapsed="false">
      <c r="S100" s="90"/>
    </row>
    <row r="101" customFormat="false" ht="15" hidden="false" customHeight="false" outlineLevel="0" collapsed="false">
      <c r="S101" s="90"/>
    </row>
    <row r="102" customFormat="false" ht="15" hidden="false" customHeight="false" outlineLevel="0" collapsed="false">
      <c r="S102" s="90"/>
    </row>
    <row r="103" customFormat="false" ht="15" hidden="false" customHeight="false" outlineLevel="0" collapsed="false">
      <c r="S103" s="90"/>
    </row>
    <row r="104" customFormat="false" ht="15" hidden="false" customHeight="false" outlineLevel="0" collapsed="false">
      <c r="S104" s="90"/>
    </row>
    <row r="105" customFormat="false" ht="15" hidden="false" customHeight="false" outlineLevel="0" collapsed="false">
      <c r="S105" s="90"/>
    </row>
  </sheetData>
  <conditionalFormatting sqref="A1:S1 T1:XFD3 N2:S105">
    <cfRule type="expression" priority="2" aboveAverage="0" equalAverage="0" bottom="0" percent="0" rank="0" text="" dxfId="83">
      <formula>$N1="agent"</formula>
    </cfRule>
  </conditionalFormatting>
  <conditionalFormatting sqref="S2">
    <cfRule type="expression" priority="3" aboveAverage="0" equalAverage="0" bottom="0" percent="0" rank="0" text="" dxfId="84">
      <formula>$N3="agent"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421875" defaultRowHeight="1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421875" defaultRowHeight="1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LibreOffice/24.8.4.2$MacOSX_AARCH64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2024-10-25T19:50:30Z</dcterms:created>
  <dc:creator>Elisabeth Wetchy</dc:creator>
  <dc:description/>
  <dc:language>de-DE</dc:language>
  <cp:lastModifiedBy>Elisabeth Wetchy</cp:lastModifiedBy>
  <cp:lastPrinted>2024-11-16T13:23:23Z</cp:lastPrinted>
  <dcterms:modified xsi:type="dcterms:W3CDTF">2024-12-18T01:15:04Z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